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595" windowWidth="29040" windowHeight="15990" tabRatio="759" firstSheet="0" activeTab="12" autoFilterDateGrouping="1"/>
  </bookViews>
  <sheets>
    <sheet name="7-8AM" sheetId="1" state="visible" r:id="rId1"/>
    <sheet name="8-9 AM" sheetId="2" state="visible" r:id="rId2"/>
    <sheet name="9-10AM" sheetId="3" state="visible" r:id="rId3"/>
    <sheet name="10-11AM" sheetId="4" state="visible" r:id="rId4"/>
    <sheet name="11-12AM" sheetId="5" state="visible" r:id="rId5"/>
    <sheet name="12-1PM" sheetId="6" state="visible" r:id="rId6"/>
    <sheet name="1-2PM" sheetId="7" state="visible" r:id="rId7"/>
    <sheet name="2-3PM" sheetId="8" state="visible" r:id="rId8"/>
    <sheet name="3-4PM" sheetId="9" state="visible" r:id="rId9"/>
    <sheet name="4-5PM" sheetId="10" state="visible" r:id="rId10"/>
    <sheet name="5-6PM " sheetId="11" state="visible" r:id="rId11"/>
    <sheet name="6-7PM" sheetId="12" state="visible" r:id="rId12"/>
    <sheet name="DAY" sheetId="13" state="visible" r:id="rId13"/>
  </sheets>
  <externalReferences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0" fillId="2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8" borderId="2" pivotButton="0" quotePrefix="0" xfId="0"/>
    <xf numFmtId="0" fontId="1" fillId="6" borderId="1" applyAlignment="1" pivotButton="0" quotePrefix="0" xfId="0">
      <alignment horizontal="right" wrapText="1"/>
    </xf>
    <xf numFmtId="0" fontId="1" fillId="4" borderId="1" applyAlignment="1" pivotButton="0" quotePrefix="0" xfId="0">
      <alignment horizontal="right"/>
    </xf>
    <xf numFmtId="0" fontId="0" fillId="4" borderId="1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0" fillId="7" borderId="2" applyAlignment="1" pivotButton="0" quotePrefix="0" xfId="0">
      <alignment horizontal="right" wrapText="1"/>
    </xf>
    <xf numFmtId="0" fontId="1" fillId="7" borderId="2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5" borderId="2" pivotButton="0" quotePrefix="0" xfId="0"/>
    <xf numFmtId="0" fontId="1" fillId="0" borderId="1" applyAlignment="1" pivotButton="0" quotePrefix="0" xfId="0">
      <alignment horizontal="right" wrapText="1"/>
    </xf>
    <xf numFmtId="0" fontId="0" fillId="5" borderId="1" pivotButton="0" quotePrefix="0" xfId="0"/>
    <xf numFmtId="0" fontId="0" fillId="2" borderId="8" pivotButton="0" quotePrefix="0" xfId="0"/>
    <xf numFmtId="0" fontId="1" fillId="0" borderId="0" applyAlignment="1" pivotButton="0" quotePrefix="0" xfId="0">
      <alignment horizontal="right" wrapText="1"/>
    </xf>
    <xf numFmtId="0" fontId="1" fillId="4" borderId="3" applyAlignment="1" pivotButton="0" quotePrefix="0" xfId="0">
      <alignment horizontal="right"/>
    </xf>
    <xf numFmtId="0" fontId="0" fillId="4" borderId="3" pivotButton="0" quotePrefix="0" xfId="0"/>
    <xf numFmtId="0" fontId="1" fillId="2" borderId="7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8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1" fillId="2" borderId="6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8" applyAlignment="1" pivotButton="0" quotePrefix="0" xfId="0">
      <alignment horizontal="left"/>
    </xf>
    <xf numFmtId="0" fontId="1" fillId="3" borderId="0" applyAlignment="1" pivotButton="0" quotePrefix="0" xfId="0">
      <alignment horizontal="center" wrapText="1"/>
    </xf>
    <xf numFmtId="0" fontId="1" fillId="2" borderId="9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1" fillId="2" borderId="2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8-9A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7-8AM"/>
      <sheetName val="8-9 AM"/>
      <sheetName val="9-10AM"/>
      <sheetName val="10-11AM"/>
      <sheetName val="11-12AM"/>
      <sheetName val="12-1PM"/>
      <sheetName val="1-2PM"/>
      <sheetName val="2-3PM"/>
      <sheetName val="3-4PM"/>
      <sheetName val="4-5PM"/>
      <sheetName val="5-6PM "/>
      <sheetName val="6-7PM"/>
      <sheetName val="DAY"/>
      <sheetName val="8-9AM"/>
    </sheetNames>
    <sheetDataSet>
      <sheetData sheetId="0"/>
      <sheetData sheetId="1">
        <row r="60">
          <cell r="N60">
            <v>349</v>
          </cell>
        </row>
        <row r="61">
          <cell r="N61">
            <v>185</v>
          </cell>
        </row>
        <row r="62">
          <cell r="N62">
            <v>185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view="pageBreakPreview" zoomScaleNormal="100" zoomScaleSheetLayoutView="100" workbookViewId="0">
      <selection activeCell="A3" sqref="A3:N3"/>
    </sheetView>
  </sheetViews>
  <sheetFormatPr baseColWidth="8" defaultRowHeight="15"/>
  <cols>
    <col width="12.5703125" customWidth="1" min="1" max="1"/>
  </cols>
  <sheetData>
    <row r="1">
      <c r="A1" s="30" t="inlineStr">
        <is>
          <t>07:00 AM - 08:00 AM</t>
        </is>
      </c>
    </row>
    <row r="2" ht="18" customHeight="1"/>
    <row r="3">
      <c r="A3" s="38" t="inlineStr">
        <is>
          <t>ROAD: NAIROBI - MOMBASA (A8) ROAD</t>
        </is>
      </c>
    </row>
    <row r="4" ht="9" customHeight="1"/>
    <row r="5">
      <c r="A5" s="36" t="inlineStr">
        <is>
          <t>SITE: ATHI RIVER AREA, MACHAKOS COUNTY</t>
        </is>
      </c>
    </row>
    <row r="6">
      <c r="A6" s="36" t="inlineStr">
        <is>
          <t>PROJECT: EXISTING COMMERCIAL DEVELOPMENT</t>
        </is>
      </c>
    </row>
    <row r="7">
      <c r="A7" s="36" t="inlineStr">
        <is>
          <t>C/O: CRYSTAL RIVERS MALL</t>
        </is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7:00-7:15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37</v>
      </c>
      <c r="C14" s="3" t="n">
        <v>24</v>
      </c>
      <c r="D14" s="3" t="n">
        <v>10</v>
      </c>
      <c r="E14" s="3" t="n">
        <v>6</v>
      </c>
      <c r="F14" s="3" t="n">
        <v>10</v>
      </c>
      <c r="G14" s="3" t="n">
        <v>1</v>
      </c>
      <c r="H14" s="3" t="n">
        <v>0</v>
      </c>
      <c r="I14" s="3" t="n">
        <v>0</v>
      </c>
      <c r="J14" s="3" t="n">
        <v>3</v>
      </c>
      <c r="K14" s="3" t="n">
        <v>1</v>
      </c>
      <c r="L14" s="3" t="n">
        <v>1</v>
      </c>
      <c r="M14" s="3" t="n">
        <v>0</v>
      </c>
      <c r="N14" s="20" t="n">
        <v>37</v>
      </c>
    </row>
    <row r="15" ht="31.5" customHeight="1">
      <c r="A15" s="4" t="inlineStr">
        <is>
          <t>Mombasa Bound Lane 2</t>
        </is>
      </c>
      <c r="B15" s="3" t="n">
        <v>16</v>
      </c>
      <c r="C15" s="3" t="n">
        <v>41</v>
      </c>
      <c r="D15" s="3" t="n">
        <v>22</v>
      </c>
      <c r="E15" s="3" t="n">
        <v>11</v>
      </c>
      <c r="F15" s="3" t="n">
        <v>9</v>
      </c>
      <c r="G15" s="3" t="n">
        <v>3</v>
      </c>
      <c r="H15" s="3" t="n">
        <v>1</v>
      </c>
      <c r="I15" s="3" t="n">
        <v>0</v>
      </c>
      <c r="J15" s="3" t="n">
        <v>21</v>
      </c>
      <c r="K15" s="3" t="n">
        <v>11</v>
      </c>
      <c r="L15" s="3" t="n">
        <v>40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4</v>
      </c>
      <c r="C16" s="3" t="n">
        <v>47</v>
      </c>
      <c r="D16" s="3" t="n">
        <v>31</v>
      </c>
      <c r="E16" s="3" t="n">
        <v>15</v>
      </c>
      <c r="F16" s="3" t="n">
        <v>10</v>
      </c>
      <c r="G16" s="3" t="n">
        <v>0</v>
      </c>
      <c r="H16" s="3" t="n">
        <v>0</v>
      </c>
      <c r="I16" s="3" t="n">
        <v>1</v>
      </c>
      <c r="J16" s="3" t="n">
        <v>17</v>
      </c>
      <c r="K16" s="3" t="n">
        <v>6</v>
      </c>
      <c r="L16" s="3" t="n">
        <v>20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7:15-7:30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42</v>
      </c>
      <c r="C25" s="3" t="n">
        <v>17</v>
      </c>
      <c r="D25" s="3" t="n">
        <v>16</v>
      </c>
      <c r="E25" s="3" t="n">
        <v>4</v>
      </c>
      <c r="F25" s="3" t="n">
        <v>9</v>
      </c>
      <c r="G25" s="3" t="n">
        <v>0</v>
      </c>
      <c r="H25" s="3" t="n">
        <v>0</v>
      </c>
      <c r="I25" s="3" t="n">
        <v>0</v>
      </c>
      <c r="J25" s="3" t="n">
        <v>4</v>
      </c>
      <c r="K25" s="3" t="n">
        <v>1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13</v>
      </c>
      <c r="C26" s="3" t="n">
        <v>28</v>
      </c>
      <c r="D26" s="3" t="n">
        <v>24</v>
      </c>
      <c r="E26" s="3" t="n">
        <v>9</v>
      </c>
      <c r="F26" s="3" t="n">
        <v>6</v>
      </c>
      <c r="G26" s="3" t="n">
        <v>3</v>
      </c>
      <c r="H26" s="3" t="n">
        <v>0</v>
      </c>
      <c r="I26" s="3" t="n">
        <v>0</v>
      </c>
      <c r="J26" s="3" t="n">
        <v>15</v>
      </c>
      <c r="K26" s="3" t="n">
        <v>11</v>
      </c>
      <c r="L26" s="3" t="n">
        <v>32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2</v>
      </c>
      <c r="C27" s="3" t="n">
        <v>49</v>
      </c>
      <c r="D27" s="3" t="n">
        <v>28</v>
      </c>
      <c r="E27" s="3" t="n">
        <v>16</v>
      </c>
      <c r="F27" s="3" t="n">
        <v>8</v>
      </c>
      <c r="G27" s="3" t="n">
        <v>0</v>
      </c>
      <c r="H27" s="3" t="n">
        <v>0</v>
      </c>
      <c r="I27" s="3" t="n">
        <v>1</v>
      </c>
      <c r="J27" s="3" t="n">
        <v>15</v>
      </c>
      <c r="K27" s="3" t="n">
        <v>5</v>
      </c>
      <c r="L27" s="3" t="n">
        <v>16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7:30-7:45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32</v>
      </c>
      <c r="C36" s="3" t="n">
        <v>19</v>
      </c>
      <c r="D36" s="3" t="n">
        <v>14</v>
      </c>
      <c r="E36" s="3" t="n">
        <v>5</v>
      </c>
      <c r="F36" s="3" t="n">
        <v>7</v>
      </c>
      <c r="G36" s="3" t="n">
        <v>1</v>
      </c>
      <c r="H36" s="3" t="n">
        <v>0</v>
      </c>
      <c r="I36" s="3" t="n">
        <v>0</v>
      </c>
      <c r="J36" s="3" t="n">
        <v>4</v>
      </c>
      <c r="K36" s="3" t="n">
        <v>0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17</v>
      </c>
      <c r="C37" s="3" t="n">
        <v>45</v>
      </c>
      <c r="D37" s="3" t="n">
        <v>23</v>
      </c>
      <c r="E37" s="3" t="n">
        <v>10</v>
      </c>
      <c r="F37" s="3" t="n">
        <v>6</v>
      </c>
      <c r="G37" s="3" t="n">
        <v>3</v>
      </c>
      <c r="H37" s="3" t="n">
        <v>1</v>
      </c>
      <c r="I37" s="3" t="n">
        <v>0</v>
      </c>
      <c r="J37" s="3" t="n">
        <v>20</v>
      </c>
      <c r="K37" s="3" t="n">
        <v>10</v>
      </c>
      <c r="L37" s="3" t="n">
        <v>36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3</v>
      </c>
      <c r="C38" s="3" t="n">
        <v>35</v>
      </c>
      <c r="D38" s="3" t="n">
        <v>29</v>
      </c>
      <c r="E38" s="3" t="n">
        <v>10</v>
      </c>
      <c r="F38" s="3" t="n">
        <v>7</v>
      </c>
      <c r="G38" s="3" t="n">
        <v>0</v>
      </c>
      <c r="H38" s="3" t="n">
        <v>0</v>
      </c>
      <c r="I38" s="3" t="n">
        <v>1</v>
      </c>
      <c r="J38" s="3" t="n">
        <v>13</v>
      </c>
      <c r="K38" s="3" t="n">
        <v>4</v>
      </c>
      <c r="L38" s="3" t="n">
        <v>17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4"/>
    <row r="45" ht="7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7:45-8:00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27</v>
      </c>
      <c r="C47" s="3" t="n">
        <v>33</v>
      </c>
      <c r="D47" s="3" t="n">
        <v>13</v>
      </c>
      <c r="E47" s="3" t="n">
        <v>4</v>
      </c>
      <c r="F47" s="3" t="n">
        <v>7</v>
      </c>
      <c r="G47" s="3" t="n">
        <v>2</v>
      </c>
      <c r="H47" s="3" t="n">
        <v>2</v>
      </c>
      <c r="I47" s="3" t="n">
        <v>2</v>
      </c>
      <c r="J47" s="3" t="n">
        <v>8</v>
      </c>
      <c r="K47" s="3" t="n">
        <v>3</v>
      </c>
      <c r="L47" s="3" t="n">
        <v>2</v>
      </c>
      <c r="M47" s="3" t="n">
        <v>1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15</v>
      </c>
      <c r="C48" s="3" t="n">
        <v>28</v>
      </c>
      <c r="D48" s="3" t="n">
        <v>13</v>
      </c>
      <c r="E48" s="3" t="n">
        <v>6</v>
      </c>
      <c r="F48" s="3" t="n">
        <v>12</v>
      </c>
      <c r="G48" s="3" t="n">
        <v>4</v>
      </c>
      <c r="H48" s="3" t="n">
        <v>2</v>
      </c>
      <c r="I48" s="3" t="n">
        <v>3</v>
      </c>
      <c r="J48" s="3" t="n">
        <v>29</v>
      </c>
      <c r="K48" s="3" t="n">
        <v>6</v>
      </c>
      <c r="L48" s="3" t="n">
        <v>34</v>
      </c>
      <c r="M48" s="3" t="n">
        <v>1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5</v>
      </c>
      <c r="C49" s="3" t="n">
        <v>33</v>
      </c>
      <c r="D49" s="3" t="n">
        <v>38</v>
      </c>
      <c r="E49" s="3" t="n">
        <v>11</v>
      </c>
      <c r="F49" s="3" t="n">
        <v>9</v>
      </c>
      <c r="G49" s="3" t="n">
        <v>4</v>
      </c>
      <c r="H49" s="3" t="n">
        <v>2</v>
      </c>
      <c r="I49" s="3" t="n">
        <v>2</v>
      </c>
      <c r="J49" s="3" t="n">
        <v>24</v>
      </c>
      <c r="K49" s="3" t="n">
        <v>5</v>
      </c>
      <c r="L49" s="3" t="n">
        <v>20</v>
      </c>
      <c r="M49" s="3" t="n">
        <v>1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3"/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inlineStr">
        <is>
          <t>TIME</t>
        </is>
      </c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07 AM to 08 AM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6"/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>
        <f>ROUND(N65/(MAX(N19,N30,N41,N52)*4),2)</f>
        <v/>
      </c>
    </row>
    <row r="68"/>
    <row r="69"/>
    <row r="70"/>
    <row r="71"/>
    <row r="72"/>
    <row r="73" ht="34.5" customHeight="1"/>
    <row r="74"/>
    <row r="75"/>
    <row r="76"/>
    <row r="77"/>
    <row r="78"/>
    <row r="79"/>
    <row r="80"/>
    <row r="8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">
    <mergeCell ref="A46:M46"/>
    <mergeCell ref="A56:N56"/>
    <mergeCell ref="A13:M13"/>
    <mergeCell ref="A9:N9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08:00 AM - 09:00 AM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8:00-8:15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35</v>
      </c>
      <c r="C14" s="3" t="n">
        <v>19</v>
      </c>
      <c r="D14" s="3" t="n">
        <v>9</v>
      </c>
      <c r="E14" s="3" t="n">
        <v>1</v>
      </c>
      <c r="F14" s="3" t="n">
        <v>6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9</v>
      </c>
      <c r="C15" s="3" t="n">
        <v>27</v>
      </c>
      <c r="D15" s="3" t="n">
        <v>20</v>
      </c>
      <c r="E15" s="3" t="n">
        <v>8</v>
      </c>
      <c r="F15" s="3" t="n">
        <v>6</v>
      </c>
      <c r="G15" s="3" t="n">
        <v>3</v>
      </c>
      <c r="H15" s="3" t="n">
        <v>0</v>
      </c>
      <c r="I15" s="3" t="n">
        <v>0</v>
      </c>
      <c r="J15" s="3" t="n">
        <v>9</v>
      </c>
      <c r="K15" s="3" t="n">
        <v>4</v>
      </c>
      <c r="L15" s="3" t="n">
        <v>22</v>
      </c>
      <c r="M15" s="3" t="n">
        <v>1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5</v>
      </c>
      <c r="C16" s="3" t="n">
        <v>46</v>
      </c>
      <c r="D16" s="3" t="n">
        <v>36</v>
      </c>
      <c r="E16" s="3" t="n">
        <v>5</v>
      </c>
      <c r="F16" s="3" t="n">
        <v>7</v>
      </c>
      <c r="G16" s="3" t="n">
        <v>0</v>
      </c>
      <c r="H16" s="3" t="n">
        <v>1</v>
      </c>
      <c r="I16" s="3" t="n">
        <v>0</v>
      </c>
      <c r="J16" s="3" t="n">
        <v>3</v>
      </c>
      <c r="K16" s="3" t="n">
        <v>4</v>
      </c>
      <c r="L16" s="3" t="n">
        <v>8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8:15-8:30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32</v>
      </c>
      <c r="C25" s="3" t="n">
        <v>13</v>
      </c>
      <c r="D25" s="3" t="n">
        <v>8</v>
      </c>
      <c r="E25" s="3" t="n">
        <v>2</v>
      </c>
      <c r="F25" s="3" t="n">
        <v>4</v>
      </c>
      <c r="G25" s="3" t="n">
        <v>0</v>
      </c>
      <c r="H25" s="3" t="n">
        <v>0</v>
      </c>
      <c r="I25" s="3" t="n">
        <v>0</v>
      </c>
      <c r="J25" s="3" t="n">
        <v>2</v>
      </c>
      <c r="K25" s="3" t="n">
        <v>1</v>
      </c>
      <c r="L25" s="3" t="n">
        <v>0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5</v>
      </c>
      <c r="C26" s="3" t="n">
        <v>23</v>
      </c>
      <c r="D26" s="3" t="n">
        <v>22</v>
      </c>
      <c r="E26" s="3" t="n">
        <v>3</v>
      </c>
      <c r="F26" s="3" t="n">
        <v>8</v>
      </c>
      <c r="G26" s="3" t="n">
        <v>2</v>
      </c>
      <c r="H26" s="3" t="n">
        <v>0</v>
      </c>
      <c r="I26" s="3" t="n">
        <v>0</v>
      </c>
      <c r="J26" s="3" t="n">
        <v>13</v>
      </c>
      <c r="K26" s="3" t="n">
        <v>9</v>
      </c>
      <c r="L26" s="3" t="n">
        <v>23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1</v>
      </c>
      <c r="C27" s="3" t="n">
        <v>31</v>
      </c>
      <c r="D27" s="3" t="n">
        <v>15</v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16</v>
      </c>
      <c r="K27" s="3" t="n">
        <v>1</v>
      </c>
      <c r="L27" s="3" t="n">
        <v>12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8:30-8:45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28</v>
      </c>
      <c r="C36" s="3" t="n">
        <v>19</v>
      </c>
      <c r="D36" s="3" t="n">
        <v>5</v>
      </c>
      <c r="E36" s="3" t="n">
        <v>1</v>
      </c>
      <c r="F36" s="3" t="n">
        <v>9</v>
      </c>
      <c r="G36" s="3" t="n">
        <v>1</v>
      </c>
      <c r="H36" s="3" t="n">
        <v>0</v>
      </c>
      <c r="I36" s="3" t="n">
        <v>0</v>
      </c>
      <c r="J36" s="3" t="n">
        <v>5</v>
      </c>
      <c r="K36" s="3" t="n">
        <v>1</v>
      </c>
      <c r="L36" s="3" t="n">
        <v>0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4</v>
      </c>
      <c r="C37" s="3" t="n">
        <v>25</v>
      </c>
      <c r="D37" s="3" t="n">
        <v>19</v>
      </c>
      <c r="E37" s="3" t="n">
        <v>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18</v>
      </c>
      <c r="K37" s="3" t="n">
        <v>7</v>
      </c>
      <c r="L37" s="3" t="n">
        <v>14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5</v>
      </c>
      <c r="C38" s="3" t="n">
        <v>31</v>
      </c>
      <c r="D38" s="3" t="n">
        <v>59</v>
      </c>
      <c r="E38" s="3" t="n">
        <v>19</v>
      </c>
      <c r="F38" s="3" t="n">
        <v>13</v>
      </c>
      <c r="G38" s="3" t="n">
        <v>0</v>
      </c>
      <c r="H38" s="3" t="n">
        <v>0</v>
      </c>
      <c r="I38" s="3" t="n">
        <v>1</v>
      </c>
      <c r="J38" s="3" t="n">
        <v>13</v>
      </c>
      <c r="K38" s="3" t="n">
        <v>7</v>
      </c>
      <c r="L38" s="3" t="n">
        <v>14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7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8:45-9:00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24</v>
      </c>
      <c r="C47" s="3" t="n">
        <v>18</v>
      </c>
      <c r="D47" s="3" t="n">
        <v>6</v>
      </c>
      <c r="E47" s="3" t="n">
        <v>5</v>
      </c>
      <c r="F47" s="3" t="n">
        <v>8</v>
      </c>
      <c r="G47" s="3" t="n">
        <v>1</v>
      </c>
      <c r="H47" s="3" t="n">
        <v>0</v>
      </c>
      <c r="I47" s="3" t="n">
        <v>2</v>
      </c>
      <c r="J47" s="3" t="n">
        <v>1</v>
      </c>
      <c r="K47" s="3" t="n">
        <v>0</v>
      </c>
      <c r="L47" s="3" t="n">
        <v>1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2</v>
      </c>
      <c r="C48" s="3" t="n">
        <v>31</v>
      </c>
      <c r="D48" s="3" t="n">
        <v>19</v>
      </c>
      <c r="E48" s="3" t="n">
        <v>12</v>
      </c>
      <c r="F48" s="3" t="n">
        <v>7</v>
      </c>
      <c r="G48" s="3" t="n">
        <v>0</v>
      </c>
      <c r="H48" s="3" t="n">
        <v>0</v>
      </c>
      <c r="I48" s="3" t="n">
        <v>0</v>
      </c>
      <c r="J48" s="3" t="n">
        <v>23</v>
      </c>
      <c r="K48" s="3" t="n">
        <v>12</v>
      </c>
      <c r="L48" s="3" t="n">
        <v>12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0</v>
      </c>
      <c r="C49" s="3" t="n">
        <v>32</v>
      </c>
      <c r="D49" s="3" t="n">
        <v>44</v>
      </c>
      <c r="E49" s="3" t="n">
        <v>17</v>
      </c>
      <c r="F49" s="3" t="n">
        <v>2</v>
      </c>
      <c r="G49" s="3" t="n">
        <v>1</v>
      </c>
      <c r="H49" s="3" t="n">
        <v>0</v>
      </c>
      <c r="I49" s="3" t="n">
        <v>2</v>
      </c>
      <c r="J49" s="3" t="n">
        <v>13</v>
      </c>
      <c r="K49" s="3" t="n">
        <v>16</v>
      </c>
      <c r="L49" s="3" t="n">
        <v>18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inlineStr">
        <is>
          <t>TIME</t>
        </is>
      </c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08 AM to 09 AM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>
        <f>ROUND(N65/(MAX(N19,N30,N41,N52)*4),2)</f>
        <v/>
      </c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09:00 AM - 10:00 AM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9:00-9:15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40</v>
      </c>
      <c r="C14" s="3" t="n">
        <v>30</v>
      </c>
      <c r="D14" s="3" t="n">
        <v>10</v>
      </c>
      <c r="E14" s="3" t="n">
        <v>3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4</v>
      </c>
      <c r="K14" s="3" t="n">
        <v>1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11</v>
      </c>
      <c r="C15" s="3" t="n">
        <v>21</v>
      </c>
      <c r="D15" s="3" t="n">
        <v>15</v>
      </c>
      <c r="E15" s="3" t="n">
        <v>7</v>
      </c>
      <c r="F15" s="3" t="n">
        <v>5</v>
      </c>
      <c r="G15" s="3" t="n">
        <v>3</v>
      </c>
      <c r="H15" s="3" t="n">
        <v>0</v>
      </c>
      <c r="I15" s="3" t="n">
        <v>0</v>
      </c>
      <c r="J15" s="3" t="n">
        <v>25</v>
      </c>
      <c r="K15" s="3" t="n">
        <v>9</v>
      </c>
      <c r="L15" s="3" t="n">
        <v>32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3</v>
      </c>
      <c r="C16" s="3" t="n">
        <v>37</v>
      </c>
      <c r="D16" s="3" t="n">
        <v>24</v>
      </c>
      <c r="E16" s="3" t="n">
        <v>12</v>
      </c>
      <c r="F16" s="3" t="n">
        <v>11</v>
      </c>
      <c r="G16" s="3" t="n">
        <v>1</v>
      </c>
      <c r="H16" s="3" t="n">
        <v>0</v>
      </c>
      <c r="I16" s="3" t="n">
        <v>1</v>
      </c>
      <c r="J16" s="3" t="n">
        <v>13</v>
      </c>
      <c r="K16" s="3" t="n">
        <v>4</v>
      </c>
      <c r="L16" s="3" t="n">
        <v>12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9:15-9:30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31</v>
      </c>
      <c r="C25" s="3" t="n">
        <v>29</v>
      </c>
      <c r="D25" s="3" t="n">
        <v>14</v>
      </c>
      <c r="E25" s="3" t="n">
        <v>3</v>
      </c>
      <c r="F25" s="3" t="n">
        <v>9</v>
      </c>
      <c r="G25" s="3" t="n">
        <v>1</v>
      </c>
      <c r="H25" s="3" t="n">
        <v>0</v>
      </c>
      <c r="I25" s="3" t="n">
        <v>0</v>
      </c>
      <c r="J25" s="3" t="n">
        <v>4</v>
      </c>
      <c r="K25" s="3" t="n">
        <v>0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12</v>
      </c>
      <c r="C26" s="3" t="n">
        <v>31</v>
      </c>
      <c r="D26" s="3" t="n">
        <v>24</v>
      </c>
      <c r="E26" s="3" t="n">
        <v>8</v>
      </c>
      <c r="F26" s="3" t="n">
        <v>5</v>
      </c>
      <c r="G26" s="3" t="n">
        <v>2</v>
      </c>
      <c r="H26" s="3" t="n">
        <v>0</v>
      </c>
      <c r="I26" s="3" t="n">
        <v>0</v>
      </c>
      <c r="J26" s="3" t="n">
        <v>23</v>
      </c>
      <c r="K26" s="3" t="n">
        <v>8</v>
      </c>
      <c r="L26" s="3" t="n">
        <v>32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3</v>
      </c>
      <c r="C27" s="3" t="n">
        <v>44</v>
      </c>
      <c r="D27" s="3" t="n">
        <v>39</v>
      </c>
      <c r="E27" s="3" t="n">
        <v>8</v>
      </c>
      <c r="F27" s="3" t="n">
        <v>8</v>
      </c>
      <c r="G27" s="3" t="n">
        <v>0</v>
      </c>
      <c r="H27" s="3" t="n">
        <v>0</v>
      </c>
      <c r="I27" s="3" t="n">
        <v>0</v>
      </c>
      <c r="J27" s="3" t="n">
        <v>13</v>
      </c>
      <c r="K27" s="3" t="n">
        <v>5</v>
      </c>
      <c r="L27" s="3" t="n">
        <v>13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9:30-9:45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35</v>
      </c>
      <c r="C36" s="3" t="n">
        <v>17</v>
      </c>
      <c r="D36" s="3" t="n">
        <v>14</v>
      </c>
      <c r="E36" s="3" t="n">
        <v>3</v>
      </c>
      <c r="F36" s="3" t="n">
        <v>7</v>
      </c>
      <c r="G36" s="3" t="n">
        <v>1</v>
      </c>
      <c r="H36" s="3" t="n">
        <v>0</v>
      </c>
      <c r="I36" s="3" t="n">
        <v>0</v>
      </c>
      <c r="J36" s="3" t="n">
        <v>5</v>
      </c>
      <c r="K36" s="3" t="n">
        <v>1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13</v>
      </c>
      <c r="C37" s="3" t="n">
        <v>28</v>
      </c>
      <c r="D37" s="3" t="n">
        <v>22</v>
      </c>
      <c r="E37" s="3" t="n">
        <v>6</v>
      </c>
      <c r="F37" s="3" t="n">
        <v>4</v>
      </c>
      <c r="G37" s="3" t="n">
        <v>2</v>
      </c>
      <c r="H37" s="3" t="n">
        <v>1</v>
      </c>
      <c r="I37" s="3" t="n">
        <v>0</v>
      </c>
      <c r="J37" s="3" t="n">
        <v>22</v>
      </c>
      <c r="K37" s="3" t="n">
        <v>6</v>
      </c>
      <c r="L37" s="3" t="n">
        <v>33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3</v>
      </c>
      <c r="C38" s="3" t="n">
        <v>61</v>
      </c>
      <c r="D38" s="3" t="n">
        <v>35</v>
      </c>
      <c r="E38" s="3" t="n">
        <v>7</v>
      </c>
      <c r="F38" s="3" t="n">
        <v>7</v>
      </c>
      <c r="G38" s="3" t="n">
        <v>0</v>
      </c>
      <c r="H38" s="3" t="n">
        <v>0</v>
      </c>
      <c r="I38" s="3" t="n">
        <v>1</v>
      </c>
      <c r="J38" s="3" t="n">
        <v>12</v>
      </c>
      <c r="K38" s="3" t="n">
        <v>5</v>
      </c>
      <c r="L38" s="3" t="n">
        <v>16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J39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9:45-10:00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20</v>
      </c>
      <c r="C47" s="3" t="n">
        <v>18</v>
      </c>
      <c r="D47" s="3" t="n">
        <v>22</v>
      </c>
      <c r="E47" s="3" t="n">
        <v>5</v>
      </c>
      <c r="F47" s="3" t="n">
        <v>6</v>
      </c>
      <c r="G47" s="3" t="n">
        <v>2</v>
      </c>
      <c r="H47" s="3" t="n">
        <v>2</v>
      </c>
      <c r="I47" s="3" t="n">
        <v>2</v>
      </c>
      <c r="J47" s="3" t="n">
        <v>3</v>
      </c>
      <c r="K47" s="3" t="n">
        <v>3</v>
      </c>
      <c r="L47" s="3" t="n">
        <v>3</v>
      </c>
      <c r="M47" s="3" t="n">
        <v>1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23</v>
      </c>
      <c r="C48" s="3" t="n">
        <v>20</v>
      </c>
      <c r="D48" s="3" t="n">
        <v>24</v>
      </c>
      <c r="E48" s="3" t="n">
        <v>11</v>
      </c>
      <c r="F48" s="3" t="n">
        <v>12</v>
      </c>
      <c r="G48" s="3" t="n">
        <v>5</v>
      </c>
      <c r="H48" s="3" t="n">
        <v>3</v>
      </c>
      <c r="I48" s="3" t="n">
        <v>3</v>
      </c>
      <c r="J48" s="3" t="n">
        <v>8</v>
      </c>
      <c r="K48" s="3" t="n">
        <v>11</v>
      </c>
      <c r="L48" s="3" t="n">
        <v>30</v>
      </c>
      <c r="M48" s="3" t="n">
        <v>1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3</v>
      </c>
      <c r="C49" s="3" t="n">
        <v>48</v>
      </c>
      <c r="D49" s="3" t="n">
        <v>29</v>
      </c>
      <c r="E49" s="3" t="n">
        <v>16</v>
      </c>
      <c r="F49" s="3" t="n">
        <v>10</v>
      </c>
      <c r="G49" s="3" t="n">
        <v>4</v>
      </c>
      <c r="H49" s="3" t="n">
        <v>2</v>
      </c>
      <c r="I49" s="3" t="n">
        <v>2</v>
      </c>
      <c r="J49" s="3" t="n">
        <v>13</v>
      </c>
      <c r="K49" s="3" t="n">
        <v>8</v>
      </c>
      <c r="L49" s="3" t="n">
        <v>27</v>
      </c>
      <c r="M49" s="3" t="n">
        <v>1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inlineStr">
        <is>
          <t>TIME</t>
        </is>
      </c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09 AM to 10 AM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  <col width="9.7109375" customWidth="1" min="20" max="20"/>
  </cols>
  <sheetData>
    <row r="1">
      <c r="A1" s="30" t="inlineStr">
        <is>
          <t>10:00 AM - 11:00 AM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10:00-10:15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24</v>
      </c>
      <c r="C14" s="3" t="n">
        <v>20</v>
      </c>
      <c r="D14" s="3" t="n">
        <v>10</v>
      </c>
      <c r="E14" s="3" t="n">
        <v>2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1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13</v>
      </c>
      <c r="C15" s="3" t="n">
        <v>27</v>
      </c>
      <c r="D15" s="3" t="n">
        <v>12</v>
      </c>
      <c r="E15" s="3" t="n">
        <v>7</v>
      </c>
      <c r="F15" s="3" t="n">
        <v>6</v>
      </c>
      <c r="G15" s="3" t="n">
        <v>2</v>
      </c>
      <c r="H15" s="3" t="n">
        <v>1</v>
      </c>
      <c r="I15" s="3" t="n">
        <v>0</v>
      </c>
      <c r="J15" s="3" t="n">
        <v>14</v>
      </c>
      <c r="K15" s="3" t="n">
        <v>10</v>
      </c>
      <c r="L15" s="3" t="n">
        <v>30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2</v>
      </c>
      <c r="C16" s="3" t="n">
        <v>37</v>
      </c>
      <c r="D16" s="3" t="n">
        <v>22</v>
      </c>
      <c r="E16" s="3" t="n">
        <v>14</v>
      </c>
      <c r="F16" s="3" t="n">
        <v>5</v>
      </c>
      <c r="G16" s="3" t="n">
        <v>1</v>
      </c>
      <c r="H16" s="3" t="n">
        <v>0</v>
      </c>
      <c r="I16" s="3" t="n">
        <v>0</v>
      </c>
      <c r="J16" s="3" t="n">
        <v>9</v>
      </c>
      <c r="K16" s="3" t="n">
        <v>5</v>
      </c>
      <c r="L16" s="3" t="n">
        <v>22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10:15-10:30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29</v>
      </c>
      <c r="C25" s="3" t="n">
        <v>17</v>
      </c>
      <c r="D25" s="3" t="n">
        <v>8</v>
      </c>
      <c r="E25" s="3" t="n">
        <v>3</v>
      </c>
      <c r="F25" s="3" t="n">
        <v>5</v>
      </c>
      <c r="G25" s="3" t="n">
        <v>1</v>
      </c>
      <c r="H25" s="3" t="n">
        <v>0</v>
      </c>
      <c r="I25" s="3" t="n">
        <v>0</v>
      </c>
      <c r="J25" s="3" t="n">
        <v>3</v>
      </c>
      <c r="K25" s="3" t="n">
        <v>1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14</v>
      </c>
      <c r="C26" s="3" t="n">
        <v>22</v>
      </c>
      <c r="D26" s="3" t="n">
        <v>14</v>
      </c>
      <c r="E26" s="3" t="n">
        <v>8</v>
      </c>
      <c r="F26" s="3" t="n">
        <v>7</v>
      </c>
      <c r="G26" s="3" t="n">
        <v>1</v>
      </c>
      <c r="H26" s="3" t="n">
        <v>0</v>
      </c>
      <c r="I26" s="3" t="n">
        <v>0</v>
      </c>
      <c r="J26" s="3" t="n">
        <v>16</v>
      </c>
      <c r="K26" s="3" t="n">
        <v>9</v>
      </c>
      <c r="L26" s="3" t="n">
        <v>22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2</v>
      </c>
      <c r="C27" s="3" t="n">
        <v>52</v>
      </c>
      <c r="D27" s="3" t="n">
        <v>33</v>
      </c>
      <c r="E27" s="3" t="n">
        <v>9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15</v>
      </c>
      <c r="K27" s="3" t="n">
        <v>6</v>
      </c>
      <c r="L27" s="3" t="n">
        <v>15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10:30-10:45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32</v>
      </c>
      <c r="C36" s="3" t="n">
        <v>15</v>
      </c>
      <c r="D36" s="3" t="n">
        <v>9</v>
      </c>
      <c r="E36" s="3" t="n">
        <v>3</v>
      </c>
      <c r="F36" s="3" t="n">
        <v>6</v>
      </c>
      <c r="G36" s="3" t="n">
        <v>0</v>
      </c>
      <c r="H36" s="3" t="n">
        <v>0</v>
      </c>
      <c r="I36" s="3" t="n">
        <v>0</v>
      </c>
      <c r="J36" s="3" t="n">
        <v>4</v>
      </c>
      <c r="K36" s="3" t="n">
        <v>1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12</v>
      </c>
      <c r="C37" s="3" t="n">
        <v>29</v>
      </c>
      <c r="D37" s="3" t="n">
        <v>20</v>
      </c>
      <c r="E37" s="3" t="n">
        <v>6</v>
      </c>
      <c r="F37" s="3" t="n">
        <v>5</v>
      </c>
      <c r="G37" s="3" t="n">
        <v>2</v>
      </c>
      <c r="H37" s="3" t="n">
        <v>0</v>
      </c>
      <c r="I37" s="3" t="n">
        <v>0</v>
      </c>
      <c r="J37" s="3" t="n">
        <v>16</v>
      </c>
      <c r="K37" s="3" t="n">
        <v>9</v>
      </c>
      <c r="L37" s="3" t="n">
        <v>31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1</v>
      </c>
      <c r="C38" s="3" t="n">
        <v>39</v>
      </c>
      <c r="D38" s="3" t="n">
        <v>21</v>
      </c>
      <c r="E38" s="3" t="n">
        <v>12</v>
      </c>
      <c r="F38" s="3" t="n">
        <v>8</v>
      </c>
      <c r="G38" s="3" t="n">
        <v>1</v>
      </c>
      <c r="H38" s="3" t="n">
        <v>0</v>
      </c>
      <c r="I38" s="3" t="n">
        <v>1</v>
      </c>
      <c r="J38" s="3" t="n">
        <v>10</v>
      </c>
      <c r="K38" s="3" t="n">
        <v>5</v>
      </c>
      <c r="L38" s="3" t="n">
        <v>17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10:45-11:00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46</v>
      </c>
      <c r="C47" s="3" t="n">
        <v>34</v>
      </c>
      <c r="D47" s="3" t="n">
        <v>18</v>
      </c>
      <c r="E47" s="3" t="n">
        <v>6</v>
      </c>
      <c r="F47" s="3" t="n">
        <v>9</v>
      </c>
      <c r="G47" s="3" t="n">
        <v>3</v>
      </c>
      <c r="H47" s="3" t="n">
        <v>2</v>
      </c>
      <c r="I47" s="3" t="n">
        <v>2</v>
      </c>
      <c r="J47" s="3" t="n">
        <v>4</v>
      </c>
      <c r="K47" s="3" t="n">
        <v>2</v>
      </c>
      <c r="L47" s="3" t="n">
        <v>2</v>
      </c>
      <c r="M47" s="3" t="n">
        <v>1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8</v>
      </c>
      <c r="C48" s="3" t="n">
        <v>29</v>
      </c>
      <c r="D48" s="3" t="n">
        <v>20</v>
      </c>
      <c r="E48" s="3" t="n">
        <v>6</v>
      </c>
      <c r="F48" s="3" t="n">
        <v>8</v>
      </c>
      <c r="G48" s="3" t="n">
        <v>4</v>
      </c>
      <c r="H48" s="3" t="n">
        <v>3</v>
      </c>
      <c r="I48" s="3" t="n">
        <v>3</v>
      </c>
      <c r="J48" s="3" t="n">
        <v>15</v>
      </c>
      <c r="K48" s="3" t="n">
        <v>9</v>
      </c>
      <c r="L48" s="3" t="n">
        <v>20</v>
      </c>
      <c r="M48" s="3" t="n">
        <v>1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4</v>
      </c>
      <c r="C49" s="3" t="n">
        <v>36</v>
      </c>
      <c r="D49" s="3" t="n">
        <v>48</v>
      </c>
      <c r="E49" s="3" t="n">
        <v>11</v>
      </c>
      <c r="F49" s="3" t="n">
        <v>12</v>
      </c>
      <c r="G49" s="3" t="n">
        <v>2</v>
      </c>
      <c r="H49" s="3" t="n">
        <v>2</v>
      </c>
      <c r="I49" s="3" t="n">
        <v>3</v>
      </c>
      <c r="J49" s="3" t="n">
        <v>17</v>
      </c>
      <c r="K49" s="3" t="n">
        <v>5</v>
      </c>
      <c r="L49" s="3" t="n">
        <v>16</v>
      </c>
      <c r="M49" s="3" t="n">
        <v>1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inlineStr">
        <is>
          <t>TIME</t>
        </is>
      </c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10 AM to 11 AM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11:00 AM - 12:00 AM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11:00-11:15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23</v>
      </c>
      <c r="C14" s="3" t="n">
        <v>7</v>
      </c>
      <c r="D14" s="3" t="n">
        <v>7</v>
      </c>
      <c r="E14" s="3" t="n">
        <v>1</v>
      </c>
      <c r="F14" s="3" t="n">
        <v>3</v>
      </c>
      <c r="G14" s="3" t="n">
        <v>1</v>
      </c>
      <c r="H14" s="3" t="n">
        <v>0</v>
      </c>
      <c r="I14" s="3" t="n">
        <v>0</v>
      </c>
      <c r="J14" s="3" t="n">
        <v>3</v>
      </c>
      <c r="K14" s="3" t="n">
        <v>3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10</v>
      </c>
      <c r="C15" s="3" t="n">
        <v>13</v>
      </c>
      <c r="D15" s="3" t="n">
        <v>11</v>
      </c>
      <c r="E15" s="3" t="n">
        <v>3</v>
      </c>
      <c r="F15" s="3" t="n">
        <v>6</v>
      </c>
      <c r="G15" s="3" t="n">
        <v>1</v>
      </c>
      <c r="H15" s="3" t="n">
        <v>0</v>
      </c>
      <c r="I15" s="3" t="n">
        <v>3</v>
      </c>
      <c r="J15" s="3" t="n">
        <v>17</v>
      </c>
      <c r="K15" s="3" t="n">
        <v>8</v>
      </c>
      <c r="L15" s="3" t="n">
        <v>16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2</v>
      </c>
      <c r="C16" s="3" t="n">
        <v>21</v>
      </c>
      <c r="D16" s="3" t="n">
        <v>24</v>
      </c>
      <c r="E16" s="3" t="n">
        <v>11</v>
      </c>
      <c r="F16" s="3" t="n">
        <v>1</v>
      </c>
      <c r="G16" s="3" t="n">
        <v>0</v>
      </c>
      <c r="H16" s="3" t="n">
        <v>0</v>
      </c>
      <c r="I16" s="3" t="n">
        <v>2</v>
      </c>
      <c r="J16" s="3" t="n">
        <v>4</v>
      </c>
      <c r="K16" s="3" t="n">
        <v>3</v>
      </c>
      <c r="L16" s="3" t="n">
        <v>10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11:15-11:30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15</v>
      </c>
      <c r="C25" s="3" t="n">
        <v>11</v>
      </c>
      <c r="D25" s="3" t="n">
        <v>5</v>
      </c>
      <c r="E25" s="3" t="n">
        <v>2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2</v>
      </c>
      <c r="K25" s="3" t="n">
        <v>2</v>
      </c>
      <c r="L25" s="3" t="n">
        <v>3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9</v>
      </c>
      <c r="C26" s="3" t="n">
        <v>6</v>
      </c>
      <c r="D26" s="3" t="n">
        <v>10</v>
      </c>
      <c r="E26" s="3" t="n">
        <v>5</v>
      </c>
      <c r="F26" s="3" t="n">
        <v>6</v>
      </c>
      <c r="G26" s="3" t="n">
        <v>0</v>
      </c>
      <c r="H26" s="3" t="n">
        <v>0</v>
      </c>
      <c r="I26" s="3" t="n">
        <v>0</v>
      </c>
      <c r="J26" s="3" t="n">
        <v>9</v>
      </c>
      <c r="K26" s="3" t="n">
        <v>12</v>
      </c>
      <c r="L26" s="3" t="n">
        <v>25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2</v>
      </c>
      <c r="C27" s="3" t="n">
        <v>26</v>
      </c>
      <c r="D27" s="3" t="n">
        <v>21</v>
      </c>
      <c r="E27" s="3" t="n">
        <v>7</v>
      </c>
      <c r="F27" s="3" t="n">
        <v>12</v>
      </c>
      <c r="G27" s="3" t="n">
        <v>0</v>
      </c>
      <c r="H27" s="3" t="n">
        <v>0</v>
      </c>
      <c r="I27" s="3" t="n">
        <v>2</v>
      </c>
      <c r="J27" s="3" t="n">
        <v>7</v>
      </c>
      <c r="K27" s="3" t="n">
        <v>3</v>
      </c>
      <c r="L27" s="3" t="n">
        <v>10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11:30-11:45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18</v>
      </c>
      <c r="C36" s="3" t="n">
        <v>7</v>
      </c>
      <c r="D36" s="3" t="n">
        <v>4</v>
      </c>
      <c r="E36" s="3" t="n">
        <v>1</v>
      </c>
      <c r="F36" s="3" t="n">
        <v>2</v>
      </c>
      <c r="G36" s="3" t="n">
        <v>0</v>
      </c>
      <c r="H36" s="3" t="n">
        <v>0</v>
      </c>
      <c r="I36" s="3" t="n">
        <v>0</v>
      </c>
      <c r="J36" s="3" t="n">
        <v>2</v>
      </c>
      <c r="K36" s="3" t="n">
        <v>2</v>
      </c>
      <c r="L36" s="3" t="n">
        <v>0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6</v>
      </c>
      <c r="C37" s="3" t="n">
        <v>6</v>
      </c>
      <c r="D37" s="3" t="n">
        <v>9</v>
      </c>
      <c r="E37" s="3" t="n">
        <v>5</v>
      </c>
      <c r="F37" s="3" t="n">
        <v>2</v>
      </c>
      <c r="G37" s="3" t="n">
        <v>1</v>
      </c>
      <c r="H37" s="3" t="n">
        <v>0</v>
      </c>
      <c r="I37" s="3" t="n">
        <v>0</v>
      </c>
      <c r="J37" s="3" t="n">
        <v>9</v>
      </c>
      <c r="K37" s="3" t="n">
        <v>8</v>
      </c>
      <c r="L37" s="3" t="n">
        <v>10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2</v>
      </c>
      <c r="C38" s="3" t="n">
        <v>23</v>
      </c>
      <c r="D38" s="3" t="n">
        <v>25</v>
      </c>
      <c r="E38" s="3" t="n">
        <v>4</v>
      </c>
      <c r="F38" s="3" t="n">
        <v>3</v>
      </c>
      <c r="G38" s="3" t="n">
        <v>0</v>
      </c>
      <c r="H38" s="3" t="n">
        <v>1</v>
      </c>
      <c r="I38" s="3" t="n">
        <v>2</v>
      </c>
      <c r="J38" s="3" t="n">
        <v>9</v>
      </c>
      <c r="K38" s="3" t="n">
        <v>5</v>
      </c>
      <c r="L38" s="3" t="n">
        <v>8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11:45-12:00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15</v>
      </c>
      <c r="C47" s="3" t="n">
        <v>12</v>
      </c>
      <c r="D47" s="3" t="n">
        <v>8</v>
      </c>
      <c r="E47" s="3" t="n">
        <v>4</v>
      </c>
      <c r="F47" s="3" t="n">
        <v>5</v>
      </c>
      <c r="G47" s="3" t="n">
        <v>0</v>
      </c>
      <c r="H47" s="3" t="n">
        <v>1</v>
      </c>
      <c r="I47" s="3" t="n">
        <v>0</v>
      </c>
      <c r="J47" s="3" t="n">
        <v>3</v>
      </c>
      <c r="K47" s="3" t="n">
        <v>0</v>
      </c>
      <c r="L47" s="3" t="n">
        <v>0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8</v>
      </c>
      <c r="C48" s="3" t="n">
        <v>14</v>
      </c>
      <c r="D48" s="3" t="n">
        <v>9</v>
      </c>
      <c r="E48" s="3" t="n">
        <v>2</v>
      </c>
      <c r="F48" s="3" t="n">
        <v>2</v>
      </c>
      <c r="G48" s="3" t="n">
        <v>3</v>
      </c>
      <c r="H48" s="3" t="n">
        <v>0</v>
      </c>
      <c r="I48" s="3" t="n">
        <v>0</v>
      </c>
      <c r="J48" s="3" t="n">
        <v>14</v>
      </c>
      <c r="K48" s="3" t="n">
        <v>7</v>
      </c>
      <c r="L48" s="3" t="n">
        <v>20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0</v>
      </c>
      <c r="C49" s="3" t="n">
        <v>24</v>
      </c>
      <c r="D49" s="3" t="n">
        <v>21</v>
      </c>
      <c r="E49" s="3" t="n">
        <v>5</v>
      </c>
      <c r="F49" s="3" t="n">
        <v>2</v>
      </c>
      <c r="G49" s="3" t="n">
        <v>0</v>
      </c>
      <c r="H49" s="3" t="n">
        <v>1</v>
      </c>
      <c r="I49" s="3" t="n">
        <v>2</v>
      </c>
      <c r="J49" s="3" t="n">
        <v>2</v>
      </c>
      <c r="K49" s="3" t="n">
        <v>4</v>
      </c>
      <c r="L49" s="3" t="n">
        <v>9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11 AM to 12 AM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12:00 AM - 1:00 PM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12:00-12:15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24</v>
      </c>
      <c r="C14" s="3" t="n">
        <v>30</v>
      </c>
      <c r="D14" s="3" t="n">
        <v>11</v>
      </c>
      <c r="E14" s="3" t="n">
        <v>3</v>
      </c>
      <c r="F14" s="3" t="n">
        <v>6</v>
      </c>
      <c r="G14" s="3" t="n">
        <v>1</v>
      </c>
      <c r="H14" s="3" t="n">
        <v>0</v>
      </c>
      <c r="I14" s="3" t="n">
        <v>0</v>
      </c>
      <c r="J14" s="3" t="n">
        <v>2</v>
      </c>
      <c r="K14" s="3" t="n">
        <v>1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8</v>
      </c>
      <c r="C15" s="3" t="n">
        <v>26</v>
      </c>
      <c r="D15" s="3" t="n">
        <v>19</v>
      </c>
      <c r="E15" s="3" t="n">
        <v>5</v>
      </c>
      <c r="F15" s="3" t="n">
        <v>6</v>
      </c>
      <c r="G15" s="3" t="n">
        <v>1</v>
      </c>
      <c r="H15" s="3" t="n">
        <v>0</v>
      </c>
      <c r="I15" s="3" t="n">
        <v>0</v>
      </c>
      <c r="J15" s="3" t="n">
        <v>14</v>
      </c>
      <c r="K15" s="3" t="n">
        <v>10</v>
      </c>
      <c r="L15" s="3" t="n">
        <v>31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1</v>
      </c>
      <c r="C16" s="3" t="n">
        <v>24</v>
      </c>
      <c r="D16" s="3" t="n">
        <v>26</v>
      </c>
      <c r="E16" s="3" t="n">
        <v>9</v>
      </c>
      <c r="F16" s="3" t="n">
        <v>6</v>
      </c>
      <c r="G16" s="3" t="n">
        <v>0</v>
      </c>
      <c r="H16" s="3" t="n">
        <v>0</v>
      </c>
      <c r="I16" s="3" t="n">
        <v>0</v>
      </c>
      <c r="J16" s="3" t="n">
        <v>13</v>
      </c>
      <c r="K16" s="3" t="n">
        <v>2</v>
      </c>
      <c r="L16" s="3" t="n">
        <v>21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12:15-12:30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22</v>
      </c>
      <c r="C25" s="3" t="n">
        <v>18</v>
      </c>
      <c r="D25" s="3" t="n">
        <v>8</v>
      </c>
      <c r="E25" s="3" t="n">
        <v>3</v>
      </c>
      <c r="F25" s="3" t="n">
        <v>7</v>
      </c>
      <c r="G25" s="3" t="n">
        <v>1</v>
      </c>
      <c r="H25" s="3" t="n">
        <v>0</v>
      </c>
      <c r="I25" s="3" t="n">
        <v>0</v>
      </c>
      <c r="J25" s="3" t="n">
        <v>4</v>
      </c>
      <c r="K25" s="3" t="n">
        <v>1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10</v>
      </c>
      <c r="C26" s="3" t="n">
        <v>26</v>
      </c>
      <c r="D26" s="3" t="n">
        <v>18</v>
      </c>
      <c r="E26" s="3" t="n">
        <v>8</v>
      </c>
      <c r="F26" s="3" t="n">
        <v>4</v>
      </c>
      <c r="G26" s="3" t="n">
        <v>2</v>
      </c>
      <c r="H26" s="3" t="n">
        <v>0</v>
      </c>
      <c r="I26" s="3" t="n">
        <v>0</v>
      </c>
      <c r="J26" s="3" t="n">
        <v>12</v>
      </c>
      <c r="K26" s="3" t="n">
        <v>8</v>
      </c>
      <c r="L26" s="3" t="n">
        <v>33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2</v>
      </c>
      <c r="C27" s="3" t="n">
        <v>41</v>
      </c>
      <c r="D27" s="3" t="n">
        <v>32</v>
      </c>
      <c r="E27" s="3" t="n">
        <v>7</v>
      </c>
      <c r="F27" s="3" t="n">
        <v>5</v>
      </c>
      <c r="G27" s="3" t="n">
        <v>0</v>
      </c>
      <c r="H27" s="3" t="n">
        <v>0</v>
      </c>
      <c r="I27" s="3" t="n">
        <v>0</v>
      </c>
      <c r="J27" s="3" t="n">
        <v>13</v>
      </c>
      <c r="K27" s="3" t="n">
        <v>3</v>
      </c>
      <c r="L27" s="3" t="n">
        <v>19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12:30-12:45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28</v>
      </c>
      <c r="C36" s="3" t="n">
        <v>22</v>
      </c>
      <c r="D36" s="3" t="n">
        <v>12</v>
      </c>
      <c r="E36" s="3" t="n">
        <v>3</v>
      </c>
      <c r="F36" s="3" t="n">
        <v>6</v>
      </c>
      <c r="G36" s="3" t="n">
        <v>0</v>
      </c>
      <c r="H36" s="3" t="n">
        <v>0</v>
      </c>
      <c r="I36" s="3" t="n">
        <v>0</v>
      </c>
      <c r="J36" s="3" t="n">
        <v>2</v>
      </c>
      <c r="K36" s="3" t="n">
        <v>1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9</v>
      </c>
      <c r="C37" s="3" t="n">
        <v>22</v>
      </c>
      <c r="D37" s="3" t="n">
        <v>12</v>
      </c>
      <c r="E37" s="3" t="n">
        <v>7</v>
      </c>
      <c r="F37" s="3" t="n">
        <v>5</v>
      </c>
      <c r="G37" s="3" t="n">
        <v>1</v>
      </c>
      <c r="H37" s="3" t="n">
        <v>0</v>
      </c>
      <c r="I37" s="3" t="n">
        <v>0</v>
      </c>
      <c r="J37" s="3" t="n">
        <v>13</v>
      </c>
      <c r="K37" s="3" t="n">
        <v>7</v>
      </c>
      <c r="L37" s="3" t="n">
        <v>23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1</v>
      </c>
      <c r="C38" s="3" t="n">
        <v>33</v>
      </c>
      <c r="D38" s="3" t="n">
        <v>22</v>
      </c>
      <c r="E38" s="3" t="n">
        <v>8</v>
      </c>
      <c r="F38" s="3" t="n">
        <v>6</v>
      </c>
      <c r="G38" s="3" t="n">
        <v>0</v>
      </c>
      <c r="H38" s="3" t="n">
        <v>0</v>
      </c>
      <c r="I38" s="3" t="n">
        <v>0</v>
      </c>
      <c r="J38" s="3" t="n">
        <v>10</v>
      </c>
      <c r="K38" s="3" t="n">
        <v>2</v>
      </c>
      <c r="L38" s="3" t="n">
        <v>17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12:45-1:00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38</v>
      </c>
      <c r="C47" s="3" t="n">
        <v>29</v>
      </c>
      <c r="D47" s="3" t="n">
        <v>13</v>
      </c>
      <c r="E47" s="3" t="n">
        <v>4</v>
      </c>
      <c r="F47" s="3" t="n">
        <v>5</v>
      </c>
      <c r="G47" s="3" t="n">
        <v>2</v>
      </c>
      <c r="H47" s="3" t="n">
        <v>2</v>
      </c>
      <c r="I47" s="3" t="n">
        <v>2</v>
      </c>
      <c r="J47" s="3" t="n">
        <v>5</v>
      </c>
      <c r="K47" s="3" t="n">
        <v>1</v>
      </c>
      <c r="L47" s="3" t="n">
        <v>2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18</v>
      </c>
      <c r="C48" s="3" t="n">
        <v>21</v>
      </c>
      <c r="D48" s="3" t="n">
        <v>20</v>
      </c>
      <c r="E48" s="3" t="n">
        <v>7</v>
      </c>
      <c r="F48" s="3" t="n">
        <v>9</v>
      </c>
      <c r="G48" s="3" t="n">
        <v>5</v>
      </c>
      <c r="H48" s="3" t="n">
        <v>3</v>
      </c>
      <c r="I48" s="3" t="n">
        <v>3</v>
      </c>
      <c r="J48" s="3" t="n">
        <v>14</v>
      </c>
      <c r="K48" s="3" t="n">
        <v>14</v>
      </c>
      <c r="L48" s="3" t="n">
        <v>20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5</v>
      </c>
      <c r="C49" s="3" t="n">
        <v>40</v>
      </c>
      <c r="D49" s="3" t="n">
        <v>28</v>
      </c>
      <c r="E49" s="3" t="n">
        <v>16</v>
      </c>
      <c r="F49" s="3" t="n">
        <v>9</v>
      </c>
      <c r="G49" s="3" t="n">
        <v>3</v>
      </c>
      <c r="H49" s="3" t="n">
        <v>2</v>
      </c>
      <c r="I49" s="3" t="n">
        <v>3</v>
      </c>
      <c r="J49" s="3" t="n">
        <v>9</v>
      </c>
      <c r="K49" s="3" t="n">
        <v>9</v>
      </c>
      <c r="L49" s="3" t="n">
        <v>19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12 PM to 1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1:00 PM - 2:00 PM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1:00-1:15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28</v>
      </c>
      <c r="C14" s="3" t="n">
        <v>28</v>
      </c>
      <c r="D14" s="3" t="n">
        <v>8</v>
      </c>
      <c r="E14" s="3" t="n">
        <v>3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0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12</v>
      </c>
      <c r="C15" s="3" t="n">
        <v>26</v>
      </c>
      <c r="D15" s="3" t="n">
        <v>11</v>
      </c>
      <c r="E15" s="3" t="n">
        <v>8</v>
      </c>
      <c r="F15" s="3" t="n">
        <v>6</v>
      </c>
      <c r="G15" s="3" t="n">
        <v>2</v>
      </c>
      <c r="H15" s="3" t="n">
        <v>0</v>
      </c>
      <c r="I15" s="3" t="n">
        <v>0</v>
      </c>
      <c r="J15" s="3" t="n">
        <v>13</v>
      </c>
      <c r="K15" s="3" t="n">
        <v>8</v>
      </c>
      <c r="L15" s="3" t="n">
        <v>33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2</v>
      </c>
      <c r="C16" s="3" t="n">
        <v>34</v>
      </c>
      <c r="D16" s="3" t="n">
        <v>26</v>
      </c>
      <c r="E16" s="3" t="n">
        <v>11</v>
      </c>
      <c r="F16" s="3" t="n">
        <v>6</v>
      </c>
      <c r="G16" s="3" t="n">
        <v>0</v>
      </c>
      <c r="H16" s="3" t="n">
        <v>0</v>
      </c>
      <c r="I16" s="3" t="n">
        <v>0</v>
      </c>
      <c r="J16" s="3" t="n">
        <v>13</v>
      </c>
      <c r="K16" s="3" t="n">
        <v>4</v>
      </c>
      <c r="L16" s="3" t="n">
        <v>20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1:15-1:30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22</v>
      </c>
      <c r="C25" s="3" t="n">
        <v>22</v>
      </c>
      <c r="D25" s="3" t="n">
        <v>10</v>
      </c>
      <c r="E25" s="3" t="n">
        <v>3</v>
      </c>
      <c r="F25" s="3" t="n">
        <v>6</v>
      </c>
      <c r="G25" s="3" t="n">
        <v>1</v>
      </c>
      <c r="H25" s="3" t="n">
        <v>0</v>
      </c>
      <c r="I25" s="3" t="n">
        <v>0</v>
      </c>
      <c r="J25" s="3" t="n">
        <v>2</v>
      </c>
      <c r="K25" s="3" t="n">
        <v>0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15</v>
      </c>
      <c r="C26" s="3" t="n">
        <v>18</v>
      </c>
      <c r="D26" s="3" t="n">
        <v>14</v>
      </c>
      <c r="E26" s="3" t="n">
        <v>4</v>
      </c>
      <c r="F26" s="3" t="n">
        <v>4</v>
      </c>
      <c r="G26" s="3" t="n">
        <v>3</v>
      </c>
      <c r="H26" s="3" t="n">
        <v>0</v>
      </c>
      <c r="I26" s="3" t="n">
        <v>0</v>
      </c>
      <c r="J26" s="3" t="n">
        <v>17</v>
      </c>
      <c r="K26" s="3" t="n">
        <v>11</v>
      </c>
      <c r="L26" s="3" t="n">
        <v>26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1</v>
      </c>
      <c r="C27" s="3" t="n">
        <v>46</v>
      </c>
      <c r="D27" s="3" t="n">
        <v>33</v>
      </c>
      <c r="E27" s="3" t="n">
        <v>7</v>
      </c>
      <c r="F27" s="3" t="n">
        <v>5</v>
      </c>
      <c r="G27" s="3" t="n">
        <v>1</v>
      </c>
      <c r="H27" s="3" t="n">
        <v>0</v>
      </c>
      <c r="I27" s="3" t="n">
        <v>0</v>
      </c>
      <c r="J27" s="3" t="n">
        <v>16</v>
      </c>
      <c r="K27" s="3" t="n">
        <v>3</v>
      </c>
      <c r="L27" s="3" t="n">
        <v>21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1:30-1:45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25</v>
      </c>
      <c r="C36" s="3" t="n">
        <v>27</v>
      </c>
      <c r="D36" s="3" t="n">
        <v>9</v>
      </c>
      <c r="E36" s="3" t="n">
        <v>3</v>
      </c>
      <c r="F36" s="3" t="n">
        <v>5</v>
      </c>
      <c r="G36" s="3" t="n">
        <v>0</v>
      </c>
      <c r="H36" s="3" t="n">
        <v>0</v>
      </c>
      <c r="I36" s="3" t="n">
        <v>0</v>
      </c>
      <c r="J36" s="3" t="n">
        <v>2</v>
      </c>
      <c r="K36" s="3" t="n">
        <v>1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15</v>
      </c>
      <c r="C37" s="3" t="n">
        <v>23</v>
      </c>
      <c r="D37" s="3" t="n">
        <v>11</v>
      </c>
      <c r="E37" s="3" t="n">
        <v>5</v>
      </c>
      <c r="F37" s="3" t="n">
        <v>4</v>
      </c>
      <c r="G37" s="3" t="n">
        <v>3</v>
      </c>
      <c r="H37" s="3" t="n">
        <v>0</v>
      </c>
      <c r="I37" s="3" t="n">
        <v>0</v>
      </c>
      <c r="J37" s="3" t="n">
        <v>17</v>
      </c>
      <c r="K37" s="3" t="n">
        <v>5</v>
      </c>
      <c r="L37" s="3" t="n">
        <v>21</v>
      </c>
      <c r="M37" s="3" t="n">
        <v>0</v>
      </c>
      <c r="N37" s="20" t="n">
        <v>66</v>
      </c>
    </row>
    <row r="38" ht="45" customHeight="1">
      <c r="A38" s="4" t="inlineStr">
        <is>
          <t>Mombasa Bound Lane 3</t>
        </is>
      </c>
      <c r="B38" s="3" t="n">
        <v>2</v>
      </c>
      <c r="C38" s="3" t="n">
        <v>30</v>
      </c>
      <c r="D38" s="3" t="n">
        <v>20</v>
      </c>
      <c r="E38" s="3" t="n">
        <v>7</v>
      </c>
      <c r="F38" s="3" t="n">
        <v>7</v>
      </c>
      <c r="G38" s="3" t="n">
        <v>0</v>
      </c>
      <c r="H38" s="3" t="n">
        <v>0</v>
      </c>
      <c r="I38" s="3" t="n">
        <v>1</v>
      </c>
      <c r="J38" s="3" t="n">
        <v>9</v>
      </c>
      <c r="K38" s="3" t="n">
        <v>4</v>
      </c>
      <c r="L38" s="3" t="n">
        <v>15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1:45-2:00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28</v>
      </c>
      <c r="C47" s="3" t="n">
        <v>13</v>
      </c>
      <c r="D47" s="3" t="n">
        <v>15</v>
      </c>
      <c r="E47" s="3" t="n">
        <v>6</v>
      </c>
      <c r="F47" s="3" t="n">
        <v>8</v>
      </c>
      <c r="G47" s="3" t="n">
        <v>3</v>
      </c>
      <c r="H47" s="3" t="n">
        <v>1</v>
      </c>
      <c r="I47" s="3" t="n">
        <v>1</v>
      </c>
      <c r="J47" s="3" t="n">
        <v>8</v>
      </c>
      <c r="K47" s="3" t="n">
        <v>3</v>
      </c>
      <c r="L47" s="3" t="n">
        <v>3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7</v>
      </c>
      <c r="C48" s="3" t="n">
        <v>36</v>
      </c>
      <c r="D48" s="3" t="n">
        <v>30</v>
      </c>
      <c r="E48" s="3" t="n">
        <v>9</v>
      </c>
      <c r="F48" s="3" t="n">
        <v>11</v>
      </c>
      <c r="G48" s="3" t="n">
        <v>4</v>
      </c>
      <c r="H48" s="3" t="n">
        <v>3</v>
      </c>
      <c r="I48" s="3" t="n">
        <v>3</v>
      </c>
      <c r="J48" s="3" t="n">
        <v>22</v>
      </c>
      <c r="K48" s="3" t="n">
        <v>10</v>
      </c>
      <c r="L48" s="3" t="n">
        <v>28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5</v>
      </c>
      <c r="C49" s="3" t="n">
        <v>50</v>
      </c>
      <c r="D49" s="3" t="n">
        <v>25</v>
      </c>
      <c r="E49" s="3" t="n">
        <v>14</v>
      </c>
      <c r="F49" s="3" t="n">
        <v>7</v>
      </c>
      <c r="G49" s="3" t="n">
        <v>3</v>
      </c>
      <c r="H49" s="3" t="n">
        <v>2</v>
      </c>
      <c r="I49" s="3" t="n">
        <v>3</v>
      </c>
      <c r="J49" s="3" t="n">
        <v>14</v>
      </c>
      <c r="K49" s="3" t="n">
        <v>5</v>
      </c>
      <c r="L49" s="3" t="n">
        <v>12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1 PM to 2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2:00 PM - 3:00 PM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2:00-2:15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21</v>
      </c>
      <c r="C14" s="3" t="n">
        <v>26</v>
      </c>
      <c r="D14" s="3" t="n">
        <v>13</v>
      </c>
      <c r="E14" s="3" t="n">
        <v>2</v>
      </c>
      <c r="F14" s="3" t="n">
        <v>6</v>
      </c>
      <c r="G14" s="3" t="n">
        <v>1</v>
      </c>
      <c r="H14" s="3" t="n">
        <v>0</v>
      </c>
      <c r="I14" s="3" t="n">
        <v>0</v>
      </c>
      <c r="J14" s="3" t="n">
        <v>3</v>
      </c>
      <c r="K14" s="3" t="n">
        <v>0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11</v>
      </c>
      <c r="C15" s="3" t="n">
        <v>36</v>
      </c>
      <c r="D15" s="3" t="n">
        <v>20</v>
      </c>
      <c r="E15" s="3" t="n">
        <v>6</v>
      </c>
      <c r="F15" s="3" t="n">
        <v>3</v>
      </c>
      <c r="G15" s="3" t="n">
        <v>3</v>
      </c>
      <c r="H15" s="3" t="n">
        <v>0</v>
      </c>
      <c r="I15" s="3" t="n">
        <v>0</v>
      </c>
      <c r="J15" s="3" t="n">
        <v>10</v>
      </c>
      <c r="K15" s="3" t="n">
        <v>9</v>
      </c>
      <c r="L15" s="3" t="n">
        <v>25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2</v>
      </c>
      <c r="C16" s="3" t="n">
        <v>37</v>
      </c>
      <c r="D16" s="3" t="n">
        <v>19</v>
      </c>
      <c r="E16" s="3" t="n">
        <v>11</v>
      </c>
      <c r="F16" s="3" t="n">
        <v>6</v>
      </c>
      <c r="G16" s="3" t="n">
        <v>1</v>
      </c>
      <c r="H16" s="3" t="n">
        <v>0</v>
      </c>
      <c r="I16" s="3" t="n">
        <v>0</v>
      </c>
      <c r="J16" s="3" t="n">
        <v>12</v>
      </c>
      <c r="K16" s="3" t="n">
        <v>5</v>
      </c>
      <c r="L16" s="3" t="n">
        <v>17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2:15-2:30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24</v>
      </c>
      <c r="C25" s="3" t="n">
        <v>16</v>
      </c>
      <c r="D25" s="3" t="n">
        <v>11</v>
      </c>
      <c r="E25" s="3" t="n">
        <v>3</v>
      </c>
      <c r="F25" s="3" t="n">
        <v>3</v>
      </c>
      <c r="G25" s="3" t="n">
        <v>1</v>
      </c>
      <c r="H25" s="3" t="n">
        <v>0</v>
      </c>
      <c r="I25" s="3" t="n">
        <v>0</v>
      </c>
      <c r="J25" s="3" t="n">
        <v>3</v>
      </c>
      <c r="K25" s="3" t="n">
        <v>0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8</v>
      </c>
      <c r="C26" s="3" t="n">
        <v>28</v>
      </c>
      <c r="D26" s="3" t="n">
        <v>19</v>
      </c>
      <c r="E26" s="3" t="n">
        <v>7</v>
      </c>
      <c r="F26" s="3" t="n">
        <v>6</v>
      </c>
      <c r="G26" s="3" t="n">
        <v>2</v>
      </c>
      <c r="H26" s="3" t="n">
        <v>0</v>
      </c>
      <c r="I26" s="3" t="n">
        <v>0</v>
      </c>
      <c r="J26" s="3" t="n">
        <v>17</v>
      </c>
      <c r="K26" s="3" t="n">
        <v>11</v>
      </c>
      <c r="L26" s="3" t="n">
        <v>30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1</v>
      </c>
      <c r="C27" s="3" t="n">
        <v>31</v>
      </c>
      <c r="D27" s="3" t="n">
        <v>28</v>
      </c>
      <c r="E27" s="3" t="n">
        <v>8</v>
      </c>
      <c r="F27" s="3" t="n">
        <v>7</v>
      </c>
      <c r="G27" s="3" t="n">
        <v>0</v>
      </c>
      <c r="H27" s="3" t="n">
        <v>0</v>
      </c>
      <c r="I27" s="3" t="n">
        <v>0</v>
      </c>
      <c r="J27" s="3" t="n">
        <v>12</v>
      </c>
      <c r="K27" s="3" t="n">
        <v>2</v>
      </c>
      <c r="L27" s="3" t="n">
        <v>16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2:30-2:45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23</v>
      </c>
      <c r="C36" s="3" t="n">
        <v>18</v>
      </c>
      <c r="D36" s="3" t="n">
        <v>11</v>
      </c>
      <c r="E36" s="3" t="n">
        <v>2</v>
      </c>
      <c r="F36" s="3" t="n">
        <v>7</v>
      </c>
      <c r="G36" s="3" t="n">
        <v>1</v>
      </c>
      <c r="H36" s="3" t="n">
        <v>0</v>
      </c>
      <c r="I36" s="3" t="n">
        <v>0</v>
      </c>
      <c r="J36" s="3" t="n">
        <v>2</v>
      </c>
      <c r="K36" s="3" t="n">
        <v>0</v>
      </c>
      <c r="L36" s="3" t="n">
        <v>0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8</v>
      </c>
      <c r="C37" s="3" t="n">
        <v>21</v>
      </c>
      <c r="D37" s="3" t="n">
        <v>13</v>
      </c>
      <c r="E37" s="3" t="n">
        <v>5</v>
      </c>
      <c r="F37" s="3" t="n">
        <v>3</v>
      </c>
      <c r="G37" s="3" t="n">
        <v>3</v>
      </c>
      <c r="H37" s="3" t="n">
        <v>0</v>
      </c>
      <c r="I37" s="3" t="n">
        <v>0</v>
      </c>
      <c r="J37" s="3" t="n">
        <v>14</v>
      </c>
      <c r="K37" s="3" t="n">
        <v>6</v>
      </c>
      <c r="L37" s="3" t="n">
        <v>32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2</v>
      </c>
      <c r="C38" s="3" t="n">
        <v>32</v>
      </c>
      <c r="D38" s="3" t="n">
        <v>19</v>
      </c>
      <c r="E38" s="3" t="n">
        <v>10</v>
      </c>
      <c r="F38" s="3" t="n">
        <v>7</v>
      </c>
      <c r="G38" s="3" t="n">
        <v>1</v>
      </c>
      <c r="H38" s="3" t="n">
        <v>0</v>
      </c>
      <c r="I38" s="3" t="n">
        <v>0</v>
      </c>
      <c r="J38" s="3" t="n">
        <v>10</v>
      </c>
      <c r="K38" s="3" t="n">
        <v>4</v>
      </c>
      <c r="L38" s="3" t="n">
        <v>17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2:45-3:00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31</v>
      </c>
      <c r="C47" s="3" t="n">
        <v>24</v>
      </c>
      <c r="D47" s="3" t="n">
        <v>7</v>
      </c>
      <c r="E47" s="3" t="n">
        <v>7</v>
      </c>
      <c r="F47" s="3" t="n">
        <v>6</v>
      </c>
      <c r="G47" s="3" t="n">
        <v>2</v>
      </c>
      <c r="H47" s="3" t="n">
        <v>1</v>
      </c>
      <c r="I47" s="3" t="n">
        <v>1</v>
      </c>
      <c r="J47" s="3" t="n">
        <v>6</v>
      </c>
      <c r="K47" s="3" t="n">
        <v>3</v>
      </c>
      <c r="L47" s="3" t="n">
        <v>3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15</v>
      </c>
      <c r="C48" s="3" t="n">
        <v>30</v>
      </c>
      <c r="D48" s="3" t="n">
        <v>13</v>
      </c>
      <c r="E48" s="3" t="n">
        <v>12</v>
      </c>
      <c r="F48" s="3" t="n">
        <v>9</v>
      </c>
      <c r="G48" s="3" t="n">
        <v>2</v>
      </c>
      <c r="H48" s="3" t="n">
        <v>3</v>
      </c>
      <c r="I48" s="3" t="n">
        <v>3</v>
      </c>
      <c r="J48" s="3" t="n">
        <v>14</v>
      </c>
      <c r="K48" s="3" t="n">
        <v>9</v>
      </c>
      <c r="L48" s="3" t="n">
        <v>25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5</v>
      </c>
      <c r="C49" s="3" t="n">
        <v>43</v>
      </c>
      <c r="D49" s="3" t="n">
        <v>28</v>
      </c>
      <c r="E49" s="3" t="n">
        <v>11</v>
      </c>
      <c r="F49" s="3" t="n">
        <v>6</v>
      </c>
      <c r="G49" s="3" t="n">
        <v>2</v>
      </c>
      <c r="H49" s="3" t="n">
        <v>2</v>
      </c>
      <c r="I49" s="3" t="n">
        <v>3</v>
      </c>
      <c r="J49" s="3" t="n">
        <v>14</v>
      </c>
      <c r="K49" s="3" t="n">
        <v>6</v>
      </c>
      <c r="L49" s="3" t="n">
        <v>13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2 PM to 3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4.85546875" customWidth="1" min="1" max="1"/>
  </cols>
  <sheetData>
    <row r="1">
      <c r="A1" s="30" t="inlineStr">
        <is>
          <t>3:00 AM - 4:00 AM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3:00-3:15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18</v>
      </c>
      <c r="C14" s="3" t="n">
        <v>24</v>
      </c>
      <c r="D14" s="3" t="n">
        <v>10</v>
      </c>
      <c r="E14" s="3" t="n">
        <v>3</v>
      </c>
      <c r="F14" s="3" t="n">
        <v>7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0</v>
      </c>
      <c r="L14" s="3" t="n">
        <v>0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8</v>
      </c>
      <c r="C15" s="3" t="n">
        <v>35</v>
      </c>
      <c r="D15" s="3" t="n">
        <v>15</v>
      </c>
      <c r="E15" s="3" t="n">
        <v>5</v>
      </c>
      <c r="F15" s="3" t="n">
        <v>7</v>
      </c>
      <c r="G15" s="3" t="n">
        <v>1</v>
      </c>
      <c r="H15" s="3" t="n">
        <v>0</v>
      </c>
      <c r="I15" s="3" t="n">
        <v>0</v>
      </c>
      <c r="J15" s="3" t="n">
        <v>20</v>
      </c>
      <c r="K15" s="3" t="n">
        <v>11</v>
      </c>
      <c r="L15" s="3" t="n">
        <v>27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1</v>
      </c>
      <c r="C16" s="3" t="n">
        <v>35</v>
      </c>
      <c r="D16" s="3" t="n">
        <v>26</v>
      </c>
      <c r="E16" s="3" t="n">
        <v>11</v>
      </c>
      <c r="F16" s="3" t="n">
        <v>9</v>
      </c>
      <c r="G16" s="3" t="n">
        <v>0</v>
      </c>
      <c r="H16" s="3" t="n">
        <v>0</v>
      </c>
      <c r="I16" s="3" t="n">
        <v>0</v>
      </c>
      <c r="J16" s="3" t="n">
        <v>11</v>
      </c>
      <c r="K16" s="3" t="n">
        <v>3</v>
      </c>
      <c r="L16" s="3" t="n">
        <v>15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3:15-3:30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30</v>
      </c>
      <c r="C25" s="3" t="n">
        <v>18</v>
      </c>
      <c r="D25" s="3" t="n">
        <v>11</v>
      </c>
      <c r="E25" s="3" t="n">
        <v>3</v>
      </c>
      <c r="F25" s="3" t="n">
        <v>4</v>
      </c>
      <c r="G25" s="3" t="n">
        <v>0</v>
      </c>
      <c r="H25" s="3" t="n">
        <v>0</v>
      </c>
      <c r="I25" s="3" t="n">
        <v>0</v>
      </c>
      <c r="J25" s="3" t="n">
        <v>2</v>
      </c>
      <c r="K25" s="3" t="n">
        <v>0</v>
      </c>
      <c r="L25" s="3" t="n">
        <v>1</v>
      </c>
      <c r="M25" s="3" t="n">
        <v>0</v>
      </c>
      <c r="N25" s="20">
        <f>SUM(B25:M25)</f>
        <v/>
      </c>
    </row>
    <row r="26" ht="30" customHeight="1">
      <c r="A26" s="4" t="inlineStr">
        <is>
          <t>Mombasa Bound Lane 2</t>
        </is>
      </c>
      <c r="B26" s="3" t="n">
        <v>9</v>
      </c>
      <c r="C26" s="3" t="n">
        <v>33</v>
      </c>
      <c r="D26" s="3" t="n">
        <v>18</v>
      </c>
      <c r="E26" s="3" t="n">
        <v>8</v>
      </c>
      <c r="F26" s="3" t="n">
        <v>5</v>
      </c>
      <c r="G26" s="3" t="n">
        <v>2</v>
      </c>
      <c r="H26" s="3" t="n">
        <v>0</v>
      </c>
      <c r="I26" s="3" t="n">
        <v>0</v>
      </c>
      <c r="J26" s="3" t="n">
        <v>13</v>
      </c>
      <c r="K26" s="3" t="n">
        <v>8</v>
      </c>
      <c r="L26" s="3" t="n">
        <v>27</v>
      </c>
      <c r="M26" s="3" t="n">
        <v>0</v>
      </c>
      <c r="N26" s="20">
        <f>SUM(B26:M26)</f>
        <v/>
      </c>
    </row>
    <row r="27" ht="30" customHeight="1">
      <c r="A27" s="4" t="inlineStr">
        <is>
          <t>Mombasa Bound Lane 3</t>
        </is>
      </c>
      <c r="B27" s="3" t="n">
        <v>2</v>
      </c>
      <c r="C27" s="3" t="n">
        <v>42</v>
      </c>
      <c r="D27" s="3" t="n">
        <v>20</v>
      </c>
      <c r="E27" s="3" t="n">
        <v>9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11</v>
      </c>
      <c r="K27" s="3" t="n">
        <v>5</v>
      </c>
      <c r="L27" s="3" t="n">
        <v>18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3:30-3:45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30" customHeight="1">
      <c r="A36" s="4" t="inlineStr">
        <is>
          <t>Mombasa Bound Lane 1</t>
        </is>
      </c>
      <c r="B36" s="3" t="n">
        <v>32</v>
      </c>
      <c r="C36" s="3" t="n">
        <v>21</v>
      </c>
      <c r="D36" s="3" t="n">
        <v>8</v>
      </c>
      <c r="E36" s="3" t="n">
        <v>4</v>
      </c>
      <c r="F36" s="3" t="n">
        <v>4</v>
      </c>
      <c r="G36" s="3" t="n">
        <v>0</v>
      </c>
      <c r="H36" s="3" t="n">
        <v>0</v>
      </c>
      <c r="I36" s="3" t="n">
        <v>0</v>
      </c>
      <c r="J36" s="3" t="n">
        <v>3</v>
      </c>
      <c r="K36" s="3" t="n">
        <v>0</v>
      </c>
      <c r="L36" s="3" t="n">
        <v>1</v>
      </c>
      <c r="M36" s="3" t="n">
        <v>0</v>
      </c>
      <c r="N36" s="20">
        <f>SUM(B36:M36)</f>
        <v/>
      </c>
    </row>
    <row r="37" ht="30" customHeight="1">
      <c r="A37" s="4" t="inlineStr">
        <is>
          <t>Mombasa Bound Lane 2</t>
        </is>
      </c>
      <c r="B37" s="3" t="n">
        <v>13</v>
      </c>
      <c r="C37" s="3" t="n">
        <v>23</v>
      </c>
      <c r="D37" s="3" t="n">
        <v>19</v>
      </c>
      <c r="E37" s="3" t="n">
        <v>6</v>
      </c>
      <c r="F37" s="3" t="n">
        <v>7</v>
      </c>
      <c r="G37" s="3" t="n">
        <v>2</v>
      </c>
      <c r="H37" s="3" t="n">
        <v>0</v>
      </c>
      <c r="I37" s="3" t="n">
        <v>0</v>
      </c>
      <c r="J37" s="3" t="n">
        <v>15</v>
      </c>
      <c r="K37" s="3" t="n">
        <v>11</v>
      </c>
      <c r="L37" s="3" t="n">
        <v>21</v>
      </c>
      <c r="M37" s="3" t="n">
        <v>0</v>
      </c>
      <c r="N37" s="20">
        <f>SUM(B37:M37)</f>
        <v/>
      </c>
    </row>
    <row r="38" ht="30" customHeight="1">
      <c r="A38" s="4" t="inlineStr">
        <is>
          <t>Mombasa Bound Lane 3</t>
        </is>
      </c>
      <c r="B38" s="3" t="n">
        <v>2</v>
      </c>
      <c r="C38" s="3" t="n">
        <v>29</v>
      </c>
      <c r="D38" s="3" t="n">
        <v>32</v>
      </c>
      <c r="E38" s="3" t="n">
        <v>7</v>
      </c>
      <c r="F38" s="3" t="n">
        <v>8</v>
      </c>
      <c r="G38" s="3" t="n">
        <v>1</v>
      </c>
      <c r="H38" s="3" t="n">
        <v>0</v>
      </c>
      <c r="I38" s="3" t="n">
        <v>0</v>
      </c>
      <c r="J38" s="3" t="n">
        <v>11</v>
      </c>
      <c r="K38" s="3" t="n">
        <v>4</v>
      </c>
      <c r="L38" s="3" t="n">
        <v>17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3:45-4:00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23</v>
      </c>
      <c r="C47" s="3" t="n">
        <v>15</v>
      </c>
      <c r="D47" s="3" t="n">
        <v>17</v>
      </c>
      <c r="E47" s="3" t="n">
        <v>6</v>
      </c>
      <c r="F47" s="3" t="n">
        <v>8</v>
      </c>
      <c r="G47" s="3" t="n">
        <v>3</v>
      </c>
      <c r="H47" s="3" t="n">
        <v>1</v>
      </c>
      <c r="I47" s="3" t="n">
        <v>1</v>
      </c>
      <c r="J47" s="3" t="n">
        <v>6</v>
      </c>
      <c r="K47" s="3" t="n">
        <v>4</v>
      </c>
      <c r="L47" s="3" t="n">
        <v>3</v>
      </c>
      <c r="M47" s="3" t="n">
        <v>0</v>
      </c>
      <c r="N47" s="20">
        <f>SUM(B47:M47)</f>
        <v/>
      </c>
    </row>
    <row r="48" ht="30" customHeight="1">
      <c r="A48" s="4" t="inlineStr">
        <is>
          <t>Mombasa Bound Lane 2</t>
        </is>
      </c>
      <c r="B48" s="3" t="n">
        <v>17</v>
      </c>
      <c r="C48" s="3" t="n">
        <v>22</v>
      </c>
      <c r="D48" s="3" t="n">
        <v>15</v>
      </c>
      <c r="E48" s="3" t="n">
        <v>8</v>
      </c>
      <c r="F48" s="3" t="n">
        <v>6</v>
      </c>
      <c r="G48" s="3" t="n">
        <v>4</v>
      </c>
      <c r="H48" s="3" t="n">
        <v>3</v>
      </c>
      <c r="I48" s="3" t="n">
        <v>3</v>
      </c>
      <c r="J48" s="3" t="n">
        <v>21</v>
      </c>
      <c r="K48" s="3" t="n">
        <v>8</v>
      </c>
      <c r="L48" s="3" t="n">
        <v>33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5</v>
      </c>
      <c r="C49" s="3" t="n">
        <v>48</v>
      </c>
      <c r="D49" s="3" t="n">
        <v>27</v>
      </c>
      <c r="E49" s="3" t="n">
        <v>15</v>
      </c>
      <c r="F49" s="3" t="n">
        <v>9</v>
      </c>
      <c r="G49" s="3" t="n">
        <v>3</v>
      </c>
      <c r="H49" s="3" t="n">
        <v>2</v>
      </c>
      <c r="I49" s="3" t="n">
        <v>3</v>
      </c>
      <c r="J49" s="3" t="n">
        <v>24</v>
      </c>
      <c r="K49" s="3" t="n">
        <v>5</v>
      </c>
      <c r="L49" s="3" t="n">
        <v>8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3 PM to 4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30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30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30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4:00 PM - 5:00 PM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4:00-4:15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31</v>
      </c>
      <c r="C14" s="3" t="n">
        <v>29</v>
      </c>
      <c r="D14" s="3" t="n">
        <v>16</v>
      </c>
      <c r="E14" s="3" t="n">
        <v>4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3</v>
      </c>
      <c r="K14" s="3" t="n">
        <v>0</v>
      </c>
      <c r="L14" s="3" t="n">
        <v>0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15</v>
      </c>
      <c r="C15" s="3" t="n">
        <v>25</v>
      </c>
      <c r="D15" s="3" t="n">
        <v>17</v>
      </c>
      <c r="E15" s="3" t="n">
        <v>8</v>
      </c>
      <c r="F15" s="3" t="n">
        <v>8</v>
      </c>
      <c r="G15" s="3" t="n">
        <v>2</v>
      </c>
      <c r="H15" s="3" t="n">
        <v>0</v>
      </c>
      <c r="I15" s="3" t="n">
        <v>0</v>
      </c>
      <c r="J15" s="3" t="n">
        <v>13</v>
      </c>
      <c r="K15" s="3" t="n">
        <v>11</v>
      </c>
      <c r="L15" s="3" t="n">
        <v>32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3</v>
      </c>
      <c r="C16" s="3" t="n">
        <v>46</v>
      </c>
      <c r="D16" s="3" t="n">
        <v>32</v>
      </c>
      <c r="E16" s="3" t="n">
        <v>13</v>
      </c>
      <c r="F16" s="3" t="n">
        <v>8</v>
      </c>
      <c r="G16" s="3" t="n">
        <v>1</v>
      </c>
      <c r="H16" s="3" t="n">
        <v>0</v>
      </c>
      <c r="I16" s="3" t="n">
        <v>1</v>
      </c>
      <c r="J16" s="3" t="n">
        <v>18</v>
      </c>
      <c r="K16" s="3" t="n">
        <v>5</v>
      </c>
      <c r="L16" s="3" t="n">
        <v>26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4:15-4:30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37</v>
      </c>
      <c r="C25" s="3" t="n">
        <v>25</v>
      </c>
      <c r="D25" s="3" t="n">
        <v>9</v>
      </c>
      <c r="E25" s="3" t="n">
        <v>3</v>
      </c>
      <c r="F25" s="3" t="n">
        <v>6</v>
      </c>
      <c r="G25" s="3" t="n">
        <v>1</v>
      </c>
      <c r="H25" s="3" t="n">
        <v>0</v>
      </c>
      <c r="I25" s="3" t="n">
        <v>0</v>
      </c>
      <c r="J25" s="3" t="n">
        <v>4</v>
      </c>
      <c r="K25" s="3" t="n">
        <v>0</v>
      </c>
      <c r="L25" s="3" t="n">
        <v>0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11</v>
      </c>
      <c r="C26" s="3" t="n">
        <v>38</v>
      </c>
      <c r="D26" s="3" t="n">
        <v>26</v>
      </c>
      <c r="E26" s="3" t="n">
        <v>5</v>
      </c>
      <c r="F26" s="3" t="n">
        <v>10</v>
      </c>
      <c r="G26" s="3" t="n">
        <v>3</v>
      </c>
      <c r="H26" s="3" t="n">
        <v>0</v>
      </c>
      <c r="I26" s="3" t="n">
        <v>0</v>
      </c>
      <c r="J26" s="3" t="n">
        <v>13</v>
      </c>
      <c r="K26" s="3" t="n">
        <v>14</v>
      </c>
      <c r="L26" s="3" t="n">
        <v>40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2</v>
      </c>
      <c r="C27" s="3" t="n">
        <v>40</v>
      </c>
      <c r="D27" s="3" t="n">
        <v>29</v>
      </c>
      <c r="E27" s="3" t="n">
        <v>8</v>
      </c>
      <c r="F27" s="3" t="n">
        <v>7</v>
      </c>
      <c r="G27" s="3" t="n">
        <v>0</v>
      </c>
      <c r="H27" s="3" t="n">
        <v>0</v>
      </c>
      <c r="I27" s="3" t="n">
        <v>1</v>
      </c>
      <c r="J27" s="3" t="n">
        <v>13</v>
      </c>
      <c r="K27" s="3" t="n">
        <v>5</v>
      </c>
      <c r="L27" s="3" t="n">
        <v>24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4:30-4:45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27</v>
      </c>
      <c r="C36" s="3" t="n">
        <v>20</v>
      </c>
      <c r="D36" s="3" t="n">
        <v>10</v>
      </c>
      <c r="E36" s="3" t="n">
        <v>3</v>
      </c>
      <c r="F36" s="3" t="n">
        <v>8</v>
      </c>
      <c r="G36" s="3" t="n">
        <v>1</v>
      </c>
      <c r="H36" s="3" t="n">
        <v>0</v>
      </c>
      <c r="I36" s="3" t="n">
        <v>0</v>
      </c>
      <c r="J36" s="3" t="n">
        <v>4</v>
      </c>
      <c r="K36" s="3" t="n">
        <v>0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10</v>
      </c>
      <c r="C37" s="3" t="n">
        <v>37</v>
      </c>
      <c r="D37" s="3" t="n">
        <v>24</v>
      </c>
      <c r="E37" s="3" t="n">
        <v>9</v>
      </c>
      <c r="F37" s="3" t="n">
        <v>7</v>
      </c>
      <c r="G37" s="3" t="n">
        <v>3</v>
      </c>
      <c r="H37" s="3" t="n">
        <v>0</v>
      </c>
      <c r="I37" s="3" t="n">
        <v>0</v>
      </c>
      <c r="J37" s="3" t="n">
        <v>14</v>
      </c>
      <c r="K37" s="3" t="n">
        <v>9</v>
      </c>
      <c r="L37" s="3" t="n">
        <v>31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4</v>
      </c>
      <c r="C38" s="3" t="n">
        <v>34</v>
      </c>
      <c r="D38" s="3" t="n">
        <v>37</v>
      </c>
      <c r="E38" s="3" t="n">
        <v>13</v>
      </c>
      <c r="F38" s="3" t="n">
        <v>8</v>
      </c>
      <c r="G38" s="3" t="n">
        <v>1</v>
      </c>
      <c r="H38" s="3" t="n">
        <v>0</v>
      </c>
      <c r="I38" s="3" t="n">
        <v>1</v>
      </c>
      <c r="J38" s="3" t="n">
        <v>19</v>
      </c>
      <c r="K38" s="3" t="n">
        <v>4</v>
      </c>
      <c r="L38" s="3" t="n">
        <v>15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4:45-5:00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46</v>
      </c>
      <c r="C47" s="3" t="n">
        <v>25</v>
      </c>
      <c r="D47" s="3" t="n">
        <v>17</v>
      </c>
      <c r="E47" s="3" t="n">
        <v>6</v>
      </c>
      <c r="F47" s="3" t="n">
        <v>7</v>
      </c>
      <c r="G47" s="3" t="n">
        <v>1</v>
      </c>
      <c r="H47" s="3" t="n">
        <v>1</v>
      </c>
      <c r="I47" s="3" t="n">
        <v>1</v>
      </c>
      <c r="J47" s="3" t="n">
        <v>5</v>
      </c>
      <c r="K47" s="3" t="n">
        <v>3</v>
      </c>
      <c r="L47" s="3" t="n">
        <v>3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14</v>
      </c>
      <c r="C48" s="3" t="n">
        <v>22</v>
      </c>
      <c r="D48" s="3" t="n">
        <v>22</v>
      </c>
      <c r="E48" s="3" t="n">
        <v>10</v>
      </c>
      <c r="F48" s="3" t="n">
        <v>6</v>
      </c>
      <c r="G48" s="3" t="n">
        <v>5</v>
      </c>
      <c r="H48" s="3" t="n">
        <v>4</v>
      </c>
      <c r="I48" s="3" t="n">
        <v>2</v>
      </c>
      <c r="J48" s="3" t="n">
        <v>26</v>
      </c>
      <c r="K48" s="3" t="n">
        <v>12</v>
      </c>
      <c r="L48" s="3" t="n">
        <v>32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4</v>
      </c>
      <c r="C49" s="3" t="n">
        <v>45</v>
      </c>
      <c r="D49" s="3" t="n">
        <v>29</v>
      </c>
      <c r="E49" s="3" t="n">
        <v>9</v>
      </c>
      <c r="F49" s="3" t="n">
        <v>15</v>
      </c>
      <c r="G49" s="3" t="n">
        <v>2</v>
      </c>
      <c r="H49" s="3" t="n">
        <v>2</v>
      </c>
      <c r="I49" s="3" t="n">
        <v>1</v>
      </c>
      <c r="J49" s="3" t="n">
        <v>18</v>
      </c>
      <c r="K49" s="3" t="n">
        <v>5</v>
      </c>
      <c r="L49" s="3" t="n">
        <v>21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4 PM to 5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5:00 PM - 6:00 PM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5:00-5:15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15</v>
      </c>
      <c r="C14" s="3" t="n">
        <v>25</v>
      </c>
      <c r="D14" s="3" t="n">
        <v>10</v>
      </c>
      <c r="E14" s="3" t="n">
        <v>4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3</v>
      </c>
      <c r="K14" s="3" t="n">
        <v>1</v>
      </c>
      <c r="L14" s="3" t="n">
        <v>0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9</v>
      </c>
      <c r="C15" s="3" t="n">
        <v>9</v>
      </c>
      <c r="D15" s="3" t="n">
        <v>18</v>
      </c>
      <c r="E15" s="3" t="n">
        <v>3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7</v>
      </c>
      <c r="L15" s="3" t="n">
        <v>25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2</v>
      </c>
      <c r="C16" s="3" t="n">
        <v>23</v>
      </c>
      <c r="D16" s="3" t="n">
        <v>10</v>
      </c>
      <c r="E16" s="3" t="n">
        <v>7</v>
      </c>
      <c r="F16" s="3" t="n">
        <v>3</v>
      </c>
      <c r="G16" s="3" t="n">
        <v>1</v>
      </c>
      <c r="H16" s="3" t="n">
        <v>2</v>
      </c>
      <c r="I16" s="3" t="n">
        <v>2</v>
      </c>
      <c r="J16" s="3" t="n">
        <v>6</v>
      </c>
      <c r="K16" s="3" t="n">
        <v>4</v>
      </c>
      <c r="L16" s="3" t="n">
        <v>16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5:15-5:30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29</v>
      </c>
      <c r="C25" s="3" t="n">
        <v>22</v>
      </c>
      <c r="D25" s="3" t="n">
        <v>14</v>
      </c>
      <c r="E25" s="3" t="n">
        <v>4</v>
      </c>
      <c r="F25" s="3" t="n">
        <v>4</v>
      </c>
      <c r="G25" s="3" t="n">
        <v>0</v>
      </c>
      <c r="H25" s="3" t="n">
        <v>0</v>
      </c>
      <c r="I25" s="3" t="n">
        <v>1</v>
      </c>
      <c r="J25" s="3" t="n">
        <v>4</v>
      </c>
      <c r="K25" s="3" t="n">
        <v>1</v>
      </c>
      <c r="L25" s="3" t="n">
        <v>0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10</v>
      </c>
      <c r="C26" s="3" t="n">
        <v>38</v>
      </c>
      <c r="D26" s="3" t="n">
        <v>16</v>
      </c>
      <c r="E26" s="3" t="n">
        <v>11</v>
      </c>
      <c r="F26" s="3" t="n">
        <v>6</v>
      </c>
      <c r="G26" s="3" t="n">
        <v>2</v>
      </c>
      <c r="H26" s="3" t="n">
        <v>1</v>
      </c>
      <c r="I26" s="3" t="n">
        <v>0</v>
      </c>
      <c r="J26" s="3" t="n">
        <v>16</v>
      </c>
      <c r="K26" s="3" t="n">
        <v>6</v>
      </c>
      <c r="L26" s="3" t="n">
        <v>16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0</v>
      </c>
      <c r="C27" s="3" t="n">
        <v>21</v>
      </c>
      <c r="D27" s="3" t="n">
        <v>10</v>
      </c>
      <c r="E27" s="3" t="n">
        <v>1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3</v>
      </c>
      <c r="K27" s="3" t="n">
        <v>3</v>
      </c>
      <c r="L27" s="3" t="n">
        <v>9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5:30-5:45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25</v>
      </c>
      <c r="C36" s="3" t="n">
        <v>21</v>
      </c>
      <c r="D36" s="3" t="n">
        <v>8</v>
      </c>
      <c r="E36" s="3" t="n">
        <v>4</v>
      </c>
      <c r="F36" s="3" t="n">
        <v>7</v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1</v>
      </c>
      <c r="L36" s="3" t="n">
        <v>2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12</v>
      </c>
      <c r="C37" s="3" t="n">
        <v>14</v>
      </c>
      <c r="D37" s="3" t="n">
        <v>10</v>
      </c>
      <c r="E37" s="3" t="n">
        <v>9</v>
      </c>
      <c r="F37" s="3" t="n">
        <v>2</v>
      </c>
      <c r="G37" s="3" t="n">
        <v>5</v>
      </c>
      <c r="H37" s="3" t="n">
        <v>4</v>
      </c>
      <c r="I37" s="3" t="n">
        <v>0</v>
      </c>
      <c r="J37" s="3" t="n">
        <v>6</v>
      </c>
      <c r="K37" s="3" t="n">
        <v>2</v>
      </c>
      <c r="L37" s="3" t="n">
        <v>21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2</v>
      </c>
      <c r="C38" s="3" t="n">
        <v>20</v>
      </c>
      <c r="D38" s="3" t="n">
        <v>17</v>
      </c>
      <c r="E38" s="3" t="n">
        <v>6</v>
      </c>
      <c r="F38" s="3" t="n">
        <v>5</v>
      </c>
      <c r="G38" s="3" t="n">
        <v>1</v>
      </c>
      <c r="H38" s="3" t="n">
        <v>0</v>
      </c>
      <c r="I38" s="3" t="n">
        <v>0</v>
      </c>
      <c r="J38" s="3" t="n">
        <v>5</v>
      </c>
      <c r="K38" s="3" t="n">
        <v>4</v>
      </c>
      <c r="L38" s="3" t="n">
        <v>10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5:45-6:00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25</v>
      </c>
      <c r="C47" s="3" t="n">
        <v>26</v>
      </c>
      <c r="D47" s="3" t="n">
        <v>16</v>
      </c>
      <c r="E47" s="3" t="n">
        <v>6</v>
      </c>
      <c r="F47" s="3" t="n">
        <v>7</v>
      </c>
      <c r="G47" s="3" t="n">
        <v>0</v>
      </c>
      <c r="H47" s="3" t="n">
        <v>1</v>
      </c>
      <c r="I47" s="3" t="n">
        <v>2</v>
      </c>
      <c r="J47" s="3" t="n">
        <v>1</v>
      </c>
      <c r="K47" s="3" t="n">
        <v>2</v>
      </c>
      <c r="L47" s="3" t="n">
        <v>0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6</v>
      </c>
      <c r="C48" s="3" t="n">
        <v>16</v>
      </c>
      <c r="D48" s="3" t="n">
        <v>4</v>
      </c>
      <c r="E48" s="3" t="n">
        <v>6</v>
      </c>
      <c r="F48" s="3" t="n">
        <v>6</v>
      </c>
      <c r="G48" s="3" t="n">
        <v>1</v>
      </c>
      <c r="H48" s="3" t="n">
        <v>1</v>
      </c>
      <c r="I48" s="3" t="n">
        <v>0</v>
      </c>
      <c r="J48" s="3" t="n">
        <v>5</v>
      </c>
      <c r="K48" s="3" t="n">
        <v>1</v>
      </c>
      <c r="L48" s="3" t="n">
        <v>19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1</v>
      </c>
      <c r="C49" s="3" t="n">
        <v>15</v>
      </c>
      <c r="D49" s="3" t="n">
        <v>8</v>
      </c>
      <c r="E49" s="3" t="n">
        <v>6</v>
      </c>
      <c r="F49" s="3" t="n">
        <v>1</v>
      </c>
      <c r="G49" s="3" t="n">
        <v>0</v>
      </c>
      <c r="H49" s="3" t="n">
        <v>0</v>
      </c>
      <c r="I49" s="3" t="n">
        <v>0</v>
      </c>
      <c r="J49" s="3" t="n">
        <v>5</v>
      </c>
      <c r="K49" s="3" t="n">
        <v>0</v>
      </c>
      <c r="L49" s="3" t="n">
        <v>7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5 PM to 6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>
        <f>ROUND(N65/(MAX(N19,N30,N41,N52)*4),2)</f>
        <v/>
      </c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4"/>
  <sheetViews>
    <sheetView view="pageBreakPreview" zoomScaleNormal="100" zoomScaleSheetLayoutView="100" workbookViewId="0">
      <selection activeCell="A4" sqref="A4"/>
    </sheetView>
  </sheetViews>
  <sheetFormatPr baseColWidth="8" defaultRowHeight="15"/>
  <cols>
    <col width="12.5703125" customWidth="1" min="1" max="1"/>
  </cols>
  <sheetData>
    <row r="1">
      <c r="A1" s="30" t="inlineStr">
        <is>
          <t>06:00 PM - 07:00 PM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15 MINUTES VOLUMES</t>
        </is>
      </c>
    </row>
    <row r="11" ht="9" customHeight="1"/>
    <row r="12" ht="71.25" customHeight="1">
      <c r="A12" s="1" t="inlineStr">
        <is>
          <t>TIME</t>
        </is>
      </c>
      <c r="B12" s="2" t="inlineStr">
        <is>
          <t>Motorcycle/Tuktuk</t>
        </is>
      </c>
      <c r="C12" s="2" t="inlineStr">
        <is>
          <t>Cars(&lt;=5seats)</t>
        </is>
      </c>
      <c r="D12" s="2" t="inlineStr">
        <is>
          <t>Large Cars,4WD,SUVs</t>
        </is>
      </c>
      <c r="E12" s="2" t="inlineStr">
        <is>
          <t>Pickups/Vans</t>
        </is>
      </c>
      <c r="F12" s="2" t="inlineStr">
        <is>
          <t>Minibus/Matatus(&lt;=14seat</t>
        </is>
      </c>
      <c r="G12" s="2" t="inlineStr">
        <is>
          <t>Small bus(14-33seat)</t>
        </is>
      </c>
      <c r="H12" s="2" t="inlineStr">
        <is>
          <t>Large bus(&gt;33seat)</t>
        </is>
      </c>
      <c r="I12" s="2" t="inlineStr">
        <is>
          <t>Light Trucks(2axles)</t>
        </is>
      </c>
      <c r="J12" s="2" t="inlineStr">
        <is>
          <t>Medium Trucks(2axle,Double rear wheel)</t>
        </is>
      </c>
      <c r="K12" s="2" t="inlineStr">
        <is>
          <t>Heavy Trucks(3, 4 axles)</t>
        </is>
      </c>
      <c r="L12" s="2" t="inlineStr">
        <is>
          <t>Artics/draw-bar trucks</t>
        </is>
      </c>
      <c r="M12" s="2" t="inlineStr">
        <is>
          <t>Others (e.g tractors)</t>
        </is>
      </c>
      <c r="N12" s="7" t="inlineStr">
        <is>
          <t>TOTALS</t>
        </is>
      </c>
    </row>
    <row r="13" ht="20.25" customHeight="1">
      <c r="A13" s="44" t="inlineStr">
        <is>
          <t>6:00-6:15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6" t="n"/>
      <c r="N13" s="8" t="n"/>
    </row>
    <row r="14" ht="28.5" customHeight="1">
      <c r="A14" s="4" t="inlineStr">
        <is>
          <t>Mombasa Bound Lane 1</t>
        </is>
      </c>
      <c r="B14" s="3" t="n">
        <v>34</v>
      </c>
      <c r="C14" s="3" t="n">
        <v>17</v>
      </c>
      <c r="D14" s="3" t="n">
        <v>10</v>
      </c>
      <c r="E14" s="3" t="n">
        <v>3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4</v>
      </c>
      <c r="K14" s="3" t="n">
        <v>0</v>
      </c>
      <c r="L14" s="3" t="n">
        <v>1</v>
      </c>
      <c r="M14" s="3" t="n">
        <v>0</v>
      </c>
      <c r="N14" s="20">
        <f>SUM(B14:M14)</f>
        <v/>
      </c>
    </row>
    <row r="15" ht="31.5" customHeight="1">
      <c r="A15" s="4" t="inlineStr">
        <is>
          <t>Mombasa Bound Lane 2</t>
        </is>
      </c>
      <c r="B15" s="3" t="n">
        <v>12</v>
      </c>
      <c r="C15" s="3" t="n">
        <v>24</v>
      </c>
      <c r="D15" s="3" t="n">
        <v>19</v>
      </c>
      <c r="E15" s="3" t="n">
        <v>4</v>
      </c>
      <c r="F15" s="3" t="n">
        <v>5</v>
      </c>
      <c r="G15" s="3" t="n">
        <v>2</v>
      </c>
      <c r="H15" s="3" t="n">
        <v>0</v>
      </c>
      <c r="I15" s="3" t="n">
        <v>0</v>
      </c>
      <c r="J15" s="3" t="n">
        <v>12</v>
      </c>
      <c r="K15" s="3" t="n">
        <v>9</v>
      </c>
      <c r="L15" s="3" t="n">
        <v>21</v>
      </c>
      <c r="M15" s="3" t="n">
        <v>0</v>
      </c>
      <c r="N15" s="20">
        <f>SUM(B15:M15)</f>
        <v/>
      </c>
    </row>
    <row r="16" ht="27" customHeight="1">
      <c r="A16" s="4" t="inlineStr">
        <is>
          <t>Mombasa Bound Lane 3</t>
        </is>
      </c>
      <c r="B16" s="3" t="n">
        <v>3</v>
      </c>
      <c r="C16" s="3" t="n">
        <v>40</v>
      </c>
      <c r="D16" s="3" t="n">
        <v>29</v>
      </c>
      <c r="E16" s="3" t="n">
        <v>9</v>
      </c>
      <c r="F16" s="3" t="n">
        <v>6</v>
      </c>
      <c r="G16" s="3" t="n">
        <v>0</v>
      </c>
      <c r="H16" s="3" t="n">
        <v>0</v>
      </c>
      <c r="I16" s="3" t="n">
        <v>0</v>
      </c>
      <c r="J16" s="3" t="n">
        <v>12</v>
      </c>
      <c r="K16" s="3" t="n">
        <v>3</v>
      </c>
      <c r="L16" s="3" t="n">
        <v>22</v>
      </c>
      <c r="M16" s="3" t="n">
        <v>0</v>
      </c>
      <c r="N16" s="20">
        <f>SUM(B16:M16)</f>
        <v/>
      </c>
    </row>
    <row r="17" ht="47.25" customHeight="1">
      <c r="A17" s="10" t="inlineStr">
        <is>
          <t>VEHICLES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1">
        <f>SUM(E14:E16)</f>
        <v/>
      </c>
      <c r="F17" s="11">
        <f>SUM(F14:F16)</f>
        <v/>
      </c>
      <c r="G17" s="11">
        <f>SUM(G14:G16)</f>
        <v/>
      </c>
      <c r="H17" s="11">
        <f>SUM(H14:H16)</f>
        <v/>
      </c>
      <c r="I17" s="11">
        <f>SUM(I14:I16)</f>
        <v/>
      </c>
      <c r="J17" s="11">
        <f>SUM(J14:J16)</f>
        <v/>
      </c>
      <c r="K17" s="11">
        <f>SUM(K14:K16)</f>
        <v/>
      </c>
      <c r="L17" s="11">
        <f>SUM(L14:L16)</f>
        <v/>
      </c>
      <c r="M17" s="11">
        <f>SUM(M14:M16)</f>
        <v/>
      </c>
      <c r="N17" s="11">
        <f>SUM(B17:M17)</f>
        <v/>
      </c>
    </row>
    <row r="18" ht="30" customHeight="1">
      <c r="A18" s="16" t="inlineStr">
        <is>
          <t>Conversion Factor</t>
        </is>
      </c>
      <c r="B18" s="17" t="n">
        <v>0.5</v>
      </c>
      <c r="C18" s="17" t="n">
        <v>1</v>
      </c>
      <c r="D18" s="17" t="n">
        <v>1</v>
      </c>
      <c r="E18" s="17" t="n">
        <v>1.75</v>
      </c>
      <c r="F18" s="17" t="n">
        <v>1.75</v>
      </c>
      <c r="G18" s="17" t="n">
        <v>2</v>
      </c>
      <c r="H18" s="17" t="n">
        <v>2.5</v>
      </c>
      <c r="I18" s="17" t="n">
        <v>1.25</v>
      </c>
      <c r="J18" s="17" t="n">
        <v>1.5</v>
      </c>
      <c r="K18" s="17" t="n">
        <v>2.75</v>
      </c>
      <c r="L18" s="17" t="n">
        <v>3</v>
      </c>
      <c r="M18" s="17" t="n">
        <v>2</v>
      </c>
      <c r="N18" s="8" t="n"/>
    </row>
    <row r="19" ht="45" customHeight="1">
      <c r="A19" s="9" t="inlineStr">
        <is>
          <t>PCUs, Passenger Car Units</t>
        </is>
      </c>
      <c r="B19" s="18">
        <f>B17*B18</f>
        <v/>
      </c>
      <c r="C19" s="18">
        <f>C17*C18</f>
        <v/>
      </c>
      <c r="D19" s="18">
        <f>D17*D18</f>
        <v/>
      </c>
      <c r="E19" s="18">
        <f>E17*E18</f>
        <v/>
      </c>
      <c r="F19" s="18">
        <f>F17*F18</f>
        <v/>
      </c>
      <c r="G19" s="18">
        <f>G17*G18</f>
        <v/>
      </c>
      <c r="H19" s="18">
        <f>H17*H18</f>
        <v/>
      </c>
      <c r="I19" s="18">
        <f>I17*I18</f>
        <v/>
      </c>
      <c r="J19" s="18">
        <f>J17*J18</f>
        <v/>
      </c>
      <c r="K19" s="18">
        <f>K17*K18</f>
        <v/>
      </c>
      <c r="L19" s="18">
        <f>L17*L18</f>
        <v/>
      </c>
      <c r="M19" s="18">
        <f>M17*M18</f>
        <v/>
      </c>
      <c r="N19" s="19">
        <f>SUM(B19:M19)</f>
        <v/>
      </c>
    </row>
    <row r="20">
      <c r="A20" s="5" t="n"/>
    </row>
    <row r="21">
      <c r="A21" s="5" t="n"/>
    </row>
    <row r="22">
      <c r="A22" s="5" t="n"/>
    </row>
    <row r="23" ht="75" customHeight="1">
      <c r="A23" s="1" t="inlineStr">
        <is>
          <t>TIME</t>
        </is>
      </c>
      <c r="B23" s="2" t="inlineStr">
        <is>
          <t>Motorcycle/Tuktuk</t>
        </is>
      </c>
      <c r="C23" s="2" t="inlineStr">
        <is>
          <t>Cars(&lt;=5seats)</t>
        </is>
      </c>
      <c r="D23" s="2" t="inlineStr">
        <is>
          <t>Large Cars,4WD,SUVs</t>
        </is>
      </c>
      <c r="E23" s="2" t="inlineStr">
        <is>
          <t>Pickups/Vans</t>
        </is>
      </c>
      <c r="F23" s="2" t="inlineStr">
        <is>
          <t>Minibus/Matatus(&lt;=14seat</t>
        </is>
      </c>
      <c r="G23" s="2" t="inlineStr">
        <is>
          <t>Small bus(14-33seat)</t>
        </is>
      </c>
      <c r="H23" s="2" t="inlineStr">
        <is>
          <t>Large bus(&gt;33seat)</t>
        </is>
      </c>
      <c r="I23" s="2" t="inlineStr">
        <is>
          <t>Light Trucks(2axles)</t>
        </is>
      </c>
      <c r="J23" s="2" t="inlineStr">
        <is>
          <t>Medium Trucks(2axle,Double rear wheel)</t>
        </is>
      </c>
      <c r="K23" s="2" t="inlineStr">
        <is>
          <t>Heavy Trucks(3, 4 axles)</t>
        </is>
      </c>
      <c r="L23" s="2" t="inlineStr">
        <is>
          <t>Artics/draw-bar trucks</t>
        </is>
      </c>
      <c r="M23" s="2" t="inlineStr">
        <is>
          <t>Others (e.g tractors)</t>
        </is>
      </c>
      <c r="N23" s="7" t="inlineStr">
        <is>
          <t>TOTALS</t>
        </is>
      </c>
    </row>
    <row r="24">
      <c r="A24" s="44" t="inlineStr">
        <is>
          <t>6:15-6:30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6" t="n"/>
      <c r="N24" s="8" t="n"/>
    </row>
    <row r="25" ht="27" customHeight="1">
      <c r="A25" s="4" t="inlineStr">
        <is>
          <t>Mombasa Bound Lane 1</t>
        </is>
      </c>
      <c r="B25" s="3" t="n">
        <v>24</v>
      </c>
      <c r="C25" s="3" t="n">
        <v>17</v>
      </c>
      <c r="D25" s="3" t="n">
        <v>13</v>
      </c>
      <c r="E25" s="3" t="n">
        <v>4</v>
      </c>
      <c r="F25" s="3" t="n">
        <v>4</v>
      </c>
      <c r="G25" s="3" t="n">
        <v>0</v>
      </c>
      <c r="H25" s="3" t="n">
        <v>0</v>
      </c>
      <c r="I25" s="3" t="n">
        <v>0</v>
      </c>
      <c r="J25" s="3" t="n">
        <v>2</v>
      </c>
      <c r="K25" s="3" t="n">
        <v>0</v>
      </c>
      <c r="L25" s="3" t="n">
        <v>1</v>
      </c>
      <c r="M25" s="3" t="n">
        <v>0</v>
      </c>
      <c r="N25" s="20">
        <f>SUM(B25:M25)</f>
        <v/>
      </c>
    </row>
    <row r="26" ht="45" customHeight="1">
      <c r="A26" s="4" t="inlineStr">
        <is>
          <t>Mombasa Bound Lane 2</t>
        </is>
      </c>
      <c r="B26" s="3" t="n">
        <v>12</v>
      </c>
      <c r="C26" s="3" t="n">
        <v>31</v>
      </c>
      <c r="D26" s="3" t="n">
        <v>20</v>
      </c>
      <c r="E26" s="3" t="n">
        <v>5</v>
      </c>
      <c r="F26" s="3" t="n">
        <v>5</v>
      </c>
      <c r="G26" s="3" t="n">
        <v>2</v>
      </c>
      <c r="H26" s="3" t="n">
        <v>0</v>
      </c>
      <c r="I26" s="3" t="n">
        <v>0</v>
      </c>
      <c r="J26" s="3" t="n">
        <v>17</v>
      </c>
      <c r="K26" s="3" t="n">
        <v>7</v>
      </c>
      <c r="L26" s="3" t="n">
        <v>20</v>
      </c>
      <c r="M26" s="3" t="n">
        <v>0</v>
      </c>
      <c r="N26" s="20">
        <f>SUM(B26:M26)</f>
        <v/>
      </c>
    </row>
    <row r="27" ht="45" customHeight="1">
      <c r="A27" s="4" t="inlineStr">
        <is>
          <t>Mombasa Bound Lane 3</t>
        </is>
      </c>
      <c r="B27" s="3" t="n">
        <v>2</v>
      </c>
      <c r="C27" s="3" t="n">
        <v>25</v>
      </c>
      <c r="D27" s="3" t="n">
        <v>25</v>
      </c>
      <c r="E27" s="3" t="n">
        <v>9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16</v>
      </c>
      <c r="K27" s="3" t="n">
        <v>4</v>
      </c>
      <c r="L27" s="3" t="n">
        <v>17</v>
      </c>
      <c r="M27" s="3" t="n">
        <v>0</v>
      </c>
      <c r="N27" s="20">
        <f>SUM(B27:M27)</f>
        <v/>
      </c>
    </row>
    <row r="28">
      <c r="A28" s="10" t="inlineStr">
        <is>
          <t>VEHICLES</t>
        </is>
      </c>
      <c r="B28" s="11">
        <f>SUM(B25:B27)</f>
        <v/>
      </c>
      <c r="C28" s="11">
        <f>SUM(C25:C27)</f>
        <v/>
      </c>
      <c r="D28" s="11">
        <f>SUM(D25:D27)</f>
        <v/>
      </c>
      <c r="E28" s="11">
        <f>SUM(E25:E27)</f>
        <v/>
      </c>
      <c r="F28" s="11">
        <f>SUM(F25:F27)</f>
        <v/>
      </c>
      <c r="G28" s="11">
        <f>SUM(G25:G27)</f>
        <v/>
      </c>
      <c r="H28" s="11">
        <f>SUM(H25:H27)</f>
        <v/>
      </c>
      <c r="I28" s="11">
        <f>SUM(I25:I27)</f>
        <v/>
      </c>
      <c r="J28" s="11">
        <f>SUM(J25:J27)</f>
        <v/>
      </c>
      <c r="K28" s="11">
        <f>SUM(K25:K27)</f>
        <v/>
      </c>
      <c r="L28" s="11">
        <f>SUM(L25:L27)</f>
        <v/>
      </c>
      <c r="M28" s="11">
        <f>SUM(M25:M27)</f>
        <v/>
      </c>
      <c r="N28" s="11">
        <f>SUM(B28:M28)</f>
        <v/>
      </c>
    </row>
    <row r="29" ht="30" customHeight="1">
      <c r="A29" s="16" t="inlineStr">
        <is>
          <t>Conversion Factor</t>
        </is>
      </c>
      <c r="B29" s="17" t="n">
        <v>0.5</v>
      </c>
      <c r="C29" s="17" t="n">
        <v>1</v>
      </c>
      <c r="D29" s="17" t="n">
        <v>1</v>
      </c>
      <c r="E29" s="17" t="n">
        <v>1.75</v>
      </c>
      <c r="F29" s="17" t="n">
        <v>1.75</v>
      </c>
      <c r="G29" s="17" t="n">
        <v>2</v>
      </c>
      <c r="H29" s="17" t="n">
        <v>2.5</v>
      </c>
      <c r="I29" s="17" t="n">
        <v>1.25</v>
      </c>
      <c r="J29" s="17" t="n">
        <v>1.5</v>
      </c>
      <c r="K29" s="17" t="n">
        <v>2.75</v>
      </c>
      <c r="L29" s="17" t="n">
        <v>3</v>
      </c>
      <c r="M29" s="17" t="n">
        <v>2</v>
      </c>
      <c r="N29" s="8" t="n"/>
    </row>
    <row r="30" ht="45" customHeight="1">
      <c r="A30" s="9" t="inlineStr">
        <is>
          <t>PCUs, Passenger Car Units</t>
        </is>
      </c>
      <c r="B30" s="18">
        <f>B28*B29</f>
        <v/>
      </c>
      <c r="C30" s="18">
        <f>C28*C29</f>
        <v/>
      </c>
      <c r="D30" s="18">
        <f>D28*D29</f>
        <v/>
      </c>
      <c r="E30" s="18">
        <f>E28*E29</f>
        <v/>
      </c>
      <c r="F30" s="18">
        <f>F28*F29</f>
        <v/>
      </c>
      <c r="G30" s="18">
        <f>G28*G29</f>
        <v/>
      </c>
      <c r="H30" s="18">
        <f>H28*H29</f>
        <v/>
      </c>
      <c r="I30" s="18">
        <f>I28*I29</f>
        <v/>
      </c>
      <c r="J30" s="18">
        <f>J28*J29</f>
        <v/>
      </c>
      <c r="K30" s="18">
        <f>K28*K29</f>
        <v/>
      </c>
      <c r="L30" s="18">
        <f>L28*L29</f>
        <v/>
      </c>
      <c r="M30" s="18">
        <f>M28*M29</f>
        <v/>
      </c>
      <c r="N30" s="19">
        <f>SUM(B30:M30)</f>
        <v/>
      </c>
    </row>
    <row r="31">
      <c r="A31" s="12" t="n"/>
    </row>
    <row r="32" ht="24.75" customHeight="1">
      <c r="A32" s="12" t="n"/>
    </row>
    <row r="33">
      <c r="A33" s="12" t="n"/>
    </row>
    <row r="34" ht="45" customHeight="1">
      <c r="A34" s="1" t="inlineStr">
        <is>
          <t>TIME</t>
        </is>
      </c>
      <c r="B34" s="2" t="inlineStr">
        <is>
          <t>Motorcycle/Tuktuk</t>
        </is>
      </c>
      <c r="C34" s="2" t="inlineStr">
        <is>
          <t>Cars(&lt;=5seats)</t>
        </is>
      </c>
      <c r="D34" s="2" t="inlineStr">
        <is>
          <t>Large Cars,4WD,SUVs</t>
        </is>
      </c>
      <c r="E34" s="2" t="inlineStr">
        <is>
          <t>Pickups/Vans</t>
        </is>
      </c>
      <c r="F34" s="2" t="inlineStr">
        <is>
          <t>Minibus/Matatus(&lt;=14seat</t>
        </is>
      </c>
      <c r="G34" s="2" t="inlineStr">
        <is>
          <t>Small bus(14-33seat)</t>
        </is>
      </c>
      <c r="H34" s="2" t="inlineStr">
        <is>
          <t>Large bus(&gt;33seat)</t>
        </is>
      </c>
      <c r="I34" s="2" t="inlineStr">
        <is>
          <t>Light Trucks(2axles)</t>
        </is>
      </c>
      <c r="J34" s="2" t="inlineStr">
        <is>
          <t>Medium Trucks(2axle,Double rear wheel)</t>
        </is>
      </c>
      <c r="K34" s="2" t="inlineStr">
        <is>
          <t>Heavy Trucks(3, 4 axles)</t>
        </is>
      </c>
      <c r="L34" s="2" t="inlineStr">
        <is>
          <t>Artics/draw-bar trucks</t>
        </is>
      </c>
      <c r="M34" s="2" t="inlineStr">
        <is>
          <t>Others (e.g tractors)</t>
        </is>
      </c>
      <c r="N34" s="7" t="inlineStr">
        <is>
          <t>TOTALS</t>
        </is>
      </c>
    </row>
    <row r="35" ht="30.75" customHeight="1">
      <c r="A35" s="44" t="inlineStr">
        <is>
          <t>6:30-6:45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6" t="n"/>
      <c r="N35" s="8" t="n"/>
    </row>
    <row r="36" ht="45" customHeight="1">
      <c r="A36" s="4" t="inlineStr">
        <is>
          <t>Mombasa Bound Lane 1</t>
        </is>
      </c>
      <c r="B36" s="3" t="n">
        <v>40</v>
      </c>
      <c r="C36" s="3" t="n">
        <v>28</v>
      </c>
      <c r="D36" s="3" t="n">
        <v>12</v>
      </c>
      <c r="E36" s="3" t="n">
        <v>4</v>
      </c>
      <c r="F36" s="3" t="n">
        <v>5</v>
      </c>
      <c r="G36" s="3" t="n">
        <v>0</v>
      </c>
      <c r="H36" s="3" t="n">
        <v>0</v>
      </c>
      <c r="I36" s="3" t="n">
        <v>0</v>
      </c>
      <c r="J36" s="3" t="n">
        <v>4</v>
      </c>
      <c r="K36" s="3" t="n">
        <v>0</v>
      </c>
      <c r="L36" s="3" t="n">
        <v>1</v>
      </c>
      <c r="M36" s="3" t="n">
        <v>0</v>
      </c>
      <c r="N36" s="20">
        <f>SUM(B36:M36)</f>
        <v/>
      </c>
    </row>
    <row r="37" ht="45" customHeight="1">
      <c r="A37" s="4" t="inlineStr">
        <is>
          <t>Mombasa Bound Lane 2</t>
        </is>
      </c>
      <c r="B37" s="3" t="n">
        <v>11</v>
      </c>
      <c r="C37" s="3" t="n">
        <v>27</v>
      </c>
      <c r="D37" s="3" t="n">
        <v>15</v>
      </c>
      <c r="E37" s="3" t="n">
        <v>5</v>
      </c>
      <c r="F37" s="3" t="n">
        <v>5</v>
      </c>
      <c r="G37" s="3" t="n">
        <v>1</v>
      </c>
      <c r="H37" s="3" t="n">
        <v>0</v>
      </c>
      <c r="I37" s="3" t="n">
        <v>0</v>
      </c>
      <c r="J37" s="3" t="n">
        <v>15</v>
      </c>
      <c r="K37" s="3" t="n">
        <v>6</v>
      </c>
      <c r="L37" s="3" t="n">
        <v>30</v>
      </c>
      <c r="M37" s="3" t="n">
        <v>0</v>
      </c>
      <c r="N37" s="20">
        <f>SUM(B37:M37)</f>
        <v/>
      </c>
    </row>
    <row r="38" ht="45" customHeight="1">
      <c r="A38" s="4" t="inlineStr">
        <is>
          <t>Mombasa Bound Lane 3</t>
        </is>
      </c>
      <c r="B38" s="3" t="n">
        <v>3</v>
      </c>
      <c r="C38" s="3" t="n">
        <v>37</v>
      </c>
      <c r="D38" s="3" t="n">
        <v>23</v>
      </c>
      <c r="E38" s="3" t="n">
        <v>13</v>
      </c>
      <c r="F38" s="3" t="n">
        <v>6</v>
      </c>
      <c r="G38" s="3" t="n">
        <v>0</v>
      </c>
      <c r="H38" s="3" t="n">
        <v>0</v>
      </c>
      <c r="I38" s="3" t="n">
        <v>0</v>
      </c>
      <c r="J38" s="3" t="n">
        <v>10</v>
      </c>
      <c r="K38" s="3" t="n">
        <v>3</v>
      </c>
      <c r="L38" s="3" t="n">
        <v>22</v>
      </c>
      <c r="M38" s="3" t="n">
        <v>0</v>
      </c>
      <c r="N38" s="20">
        <f>SUM(B38:M38)</f>
        <v/>
      </c>
    </row>
    <row r="39" ht="53.25" customHeight="1">
      <c r="A39" s="10" t="inlineStr">
        <is>
          <t>VEHICLES</t>
        </is>
      </c>
      <c r="B39" s="11">
        <f>SUM(B36:B38)</f>
        <v/>
      </c>
      <c r="C39" s="11">
        <f>SUM(C36:C38)</f>
        <v/>
      </c>
      <c r="D39" s="11">
        <f>SUM(D36:D38)</f>
        <v/>
      </c>
      <c r="E39" s="11">
        <f>SUM(E36:E38)</f>
        <v/>
      </c>
      <c r="F39" s="11">
        <f>SUM(F36:F38)</f>
        <v/>
      </c>
      <c r="G39" s="11">
        <f>SUM(G36:G38)</f>
        <v/>
      </c>
      <c r="H39" s="11">
        <f>SUM(H36:H38)</f>
        <v/>
      </c>
      <c r="I39" s="11">
        <f>SUM(I36:I38)</f>
        <v/>
      </c>
      <c r="J39" s="11">
        <f>SUM(J36:J38)</f>
        <v/>
      </c>
      <c r="K39" s="11">
        <f>SUM(K36:K38)</f>
        <v/>
      </c>
      <c r="L39" s="11">
        <f>SUM(L36:L38)</f>
        <v/>
      </c>
      <c r="M39" s="11">
        <f>SUM(M36:M38)</f>
        <v/>
      </c>
      <c r="N39" s="11">
        <f>SUM(B39:M39)</f>
        <v/>
      </c>
    </row>
    <row r="40" ht="30" customHeight="1">
      <c r="A40" s="16" t="inlineStr">
        <is>
          <t>Conversion Factor</t>
        </is>
      </c>
      <c r="B40" s="17" t="n">
        <v>0.5</v>
      </c>
      <c r="C40" s="17" t="n">
        <v>1</v>
      </c>
      <c r="D40" s="17" t="n">
        <v>1</v>
      </c>
      <c r="E40" s="17" t="n">
        <v>1.75</v>
      </c>
      <c r="F40" s="17" t="n">
        <v>1.75</v>
      </c>
      <c r="G40" s="17" t="n">
        <v>2</v>
      </c>
      <c r="H40" s="17" t="n">
        <v>2.5</v>
      </c>
      <c r="I40" s="17" t="n">
        <v>1.25</v>
      </c>
      <c r="J40" s="17" t="n">
        <v>1.5</v>
      </c>
      <c r="K40" s="17" t="n">
        <v>2.75</v>
      </c>
      <c r="L40" s="17" t="n">
        <v>3</v>
      </c>
      <c r="M40" s="17" t="n">
        <v>2</v>
      </c>
      <c r="N40" s="8" t="n"/>
    </row>
    <row r="41" ht="45" customHeight="1">
      <c r="A41" s="9" t="inlineStr">
        <is>
          <t>PCUs, Passenger Car Units</t>
        </is>
      </c>
      <c r="B41" s="18">
        <f>B39*B40</f>
        <v/>
      </c>
      <c r="C41" s="18">
        <f>C39*C40</f>
        <v/>
      </c>
      <c r="D41" s="18">
        <f>D39*D40</f>
        <v/>
      </c>
      <c r="E41" s="18">
        <f>E39*E40</f>
        <v/>
      </c>
      <c r="F41" s="18">
        <f>F39*F40</f>
        <v/>
      </c>
      <c r="G41" s="18">
        <f>G39*G40</f>
        <v/>
      </c>
      <c r="H41" s="18">
        <f>H39*H40</f>
        <v/>
      </c>
      <c r="I41" s="18">
        <f>I39*I40</f>
        <v/>
      </c>
      <c r="J41" s="18">
        <f>J39*J40</f>
        <v/>
      </c>
      <c r="K41" s="18">
        <f>K39*K40</f>
        <v/>
      </c>
      <c r="L41" s="18">
        <f>L39*L40</f>
        <v/>
      </c>
      <c r="M41" s="18">
        <f>M39*M40</f>
        <v/>
      </c>
      <c r="N41" s="19">
        <f>SUM(B41:M41)</f>
        <v/>
      </c>
    </row>
    <row r="42" ht="32.25" customHeight="1"/>
    <row r="43" ht="27.75" customHeight="1"/>
    <row r="45" ht="62.25" customHeight="1">
      <c r="A45" s="1" t="inlineStr">
        <is>
          <t>TIME</t>
        </is>
      </c>
      <c r="B45" s="2" t="inlineStr">
        <is>
          <t>Motorcycle/Tuktuk</t>
        </is>
      </c>
      <c r="C45" s="2" t="inlineStr">
        <is>
          <t>Cars(&lt;=5seats)</t>
        </is>
      </c>
      <c r="D45" s="2" t="inlineStr">
        <is>
          <t>Large Cars,4WD,SUVs</t>
        </is>
      </c>
      <c r="E45" s="2" t="inlineStr">
        <is>
          <t>Pickups/Vans</t>
        </is>
      </c>
      <c r="F45" s="2" t="inlineStr">
        <is>
          <t>Minibus/Matatus(&lt;=14seat</t>
        </is>
      </c>
      <c r="G45" s="2" t="inlineStr">
        <is>
          <t>Small bus(14-33seat)</t>
        </is>
      </c>
      <c r="H45" s="2" t="inlineStr">
        <is>
          <t>Large bus(&gt;33seat)</t>
        </is>
      </c>
      <c r="I45" s="2" t="inlineStr">
        <is>
          <t>Light Trucks(2axles)</t>
        </is>
      </c>
      <c r="J45" s="2" t="inlineStr">
        <is>
          <t>Medium Trucks(2axle,Double rear wheel)</t>
        </is>
      </c>
      <c r="K45" s="2" t="inlineStr">
        <is>
          <t>Heavy Trucks(3, 4 axles)</t>
        </is>
      </c>
      <c r="L45" s="2" t="inlineStr">
        <is>
          <t>Artics/draw-bar trucks</t>
        </is>
      </c>
      <c r="M45" s="2" t="inlineStr">
        <is>
          <t>Others (e.g tractors)</t>
        </is>
      </c>
      <c r="N45" s="7" t="inlineStr">
        <is>
          <t>TOTALS</t>
        </is>
      </c>
    </row>
    <row r="46" ht="21.75" customHeight="1">
      <c r="A46" s="44" t="inlineStr">
        <is>
          <t>6:45-7:00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6" t="n"/>
      <c r="N46" s="8" t="n"/>
    </row>
    <row r="47" ht="26.25" customHeight="1">
      <c r="A47" s="4" t="inlineStr">
        <is>
          <t>Mombasa Bound Lane 1</t>
        </is>
      </c>
      <c r="B47" s="3" t="n">
        <v>30</v>
      </c>
      <c r="C47" s="3" t="n">
        <v>35</v>
      </c>
      <c r="D47" s="3" t="n">
        <v>10</v>
      </c>
      <c r="E47" s="3" t="n">
        <v>3</v>
      </c>
      <c r="F47" s="3" t="n">
        <v>7</v>
      </c>
      <c r="G47" s="3" t="n">
        <v>3</v>
      </c>
      <c r="H47" s="3" t="n">
        <v>1</v>
      </c>
      <c r="I47" s="3" t="n">
        <v>1</v>
      </c>
      <c r="J47" s="3" t="n">
        <v>5</v>
      </c>
      <c r="K47" s="3" t="n">
        <v>3</v>
      </c>
      <c r="L47" s="3" t="n">
        <v>2</v>
      </c>
      <c r="M47" s="3" t="n">
        <v>0</v>
      </c>
      <c r="N47" s="20">
        <f>SUM(B47:M47)</f>
        <v/>
      </c>
    </row>
    <row r="48" ht="45" customHeight="1">
      <c r="A48" s="4" t="inlineStr">
        <is>
          <t>Mombasa Bound Lane 2</t>
        </is>
      </c>
      <c r="B48" s="3" t="n">
        <v>12</v>
      </c>
      <c r="C48" s="3" t="n">
        <v>17</v>
      </c>
      <c r="D48" s="3" t="n">
        <v>15</v>
      </c>
      <c r="E48" s="3" t="n">
        <v>9</v>
      </c>
      <c r="F48" s="3" t="n">
        <v>9</v>
      </c>
      <c r="G48" s="3" t="n">
        <v>5</v>
      </c>
      <c r="H48" s="3" t="n">
        <v>3</v>
      </c>
      <c r="I48" s="3" t="n">
        <v>2</v>
      </c>
      <c r="J48" s="3" t="n">
        <v>20</v>
      </c>
      <c r="K48" s="3" t="n">
        <v>16</v>
      </c>
      <c r="L48" s="3" t="n">
        <v>42</v>
      </c>
      <c r="M48" s="3" t="n">
        <v>0</v>
      </c>
      <c r="N48" s="20">
        <f>SUM(B48:M48)</f>
        <v/>
      </c>
    </row>
    <row r="49" ht="28.5" customHeight="1">
      <c r="A49" s="4" t="inlineStr">
        <is>
          <t>Mombasa Bound Lane 3</t>
        </is>
      </c>
      <c r="B49" s="3" t="n">
        <v>2</v>
      </c>
      <c r="C49" s="3" t="n">
        <v>39</v>
      </c>
      <c r="D49" s="3" t="n">
        <v>46</v>
      </c>
      <c r="E49" s="3" t="n">
        <v>15</v>
      </c>
      <c r="F49" s="3" t="n">
        <v>11</v>
      </c>
      <c r="G49" s="3" t="n">
        <v>3</v>
      </c>
      <c r="H49" s="3" t="n">
        <v>1</v>
      </c>
      <c r="I49" s="3" t="n">
        <v>3</v>
      </c>
      <c r="J49" s="3" t="n">
        <v>13</v>
      </c>
      <c r="K49" s="3" t="n">
        <v>6</v>
      </c>
      <c r="L49" s="3" t="n">
        <v>12</v>
      </c>
      <c r="M49" s="3" t="n">
        <v>0</v>
      </c>
      <c r="N49" s="20">
        <f>SUM(B49:M49)</f>
        <v/>
      </c>
    </row>
    <row r="50">
      <c r="A50" s="10" t="inlineStr">
        <is>
          <t>VEHICLES</t>
        </is>
      </c>
      <c r="B50" s="11">
        <f>SUM(B47:B49)</f>
        <v/>
      </c>
      <c r="C50" s="11">
        <f>SUM(C47:C49)</f>
        <v/>
      </c>
      <c r="D50" s="11">
        <f>SUM(D47:D49)</f>
        <v/>
      </c>
      <c r="E50" s="11">
        <f>SUM(E47:E49)</f>
        <v/>
      </c>
      <c r="F50" s="11">
        <f>SUM(F47:F49)</f>
        <v/>
      </c>
      <c r="G50" s="11">
        <f>SUM(G47:G49)</f>
        <v/>
      </c>
      <c r="H50" s="11">
        <f>SUM(H47:H49)</f>
        <v/>
      </c>
      <c r="I50" s="11">
        <f>SUM(I47:I49)</f>
        <v/>
      </c>
      <c r="J50" s="11">
        <f>SUM(J47:J49)</f>
        <v/>
      </c>
      <c r="K50" s="11">
        <f>SUM(K47:K49)</f>
        <v/>
      </c>
      <c r="L50" s="11">
        <f>SUM(L47:L49)</f>
        <v/>
      </c>
      <c r="M50" s="11">
        <f>SUM(M47:M49)</f>
        <v/>
      </c>
      <c r="N50" s="11">
        <f>SUM(B50:M50)</f>
        <v/>
      </c>
    </row>
    <row r="51" ht="30" customHeight="1">
      <c r="A51" s="16" t="inlineStr">
        <is>
          <t>Conversion Factor</t>
        </is>
      </c>
      <c r="B51" s="17" t="n">
        <v>0.5</v>
      </c>
      <c r="C51" s="17" t="n">
        <v>1</v>
      </c>
      <c r="D51" s="17" t="n">
        <v>1</v>
      </c>
      <c r="E51" s="17" t="n">
        <v>1.75</v>
      </c>
      <c r="F51" s="17" t="n">
        <v>1.75</v>
      </c>
      <c r="G51" s="17" t="n">
        <v>2</v>
      </c>
      <c r="H51" s="17" t="n">
        <v>2.5</v>
      </c>
      <c r="I51" s="17" t="n">
        <v>1.25</v>
      </c>
      <c r="J51" s="17" t="n">
        <v>1.5</v>
      </c>
      <c r="K51" s="17" t="n">
        <v>2.75</v>
      </c>
      <c r="L51" s="17" t="n">
        <v>3</v>
      </c>
      <c r="M51" s="17" t="n">
        <v>2</v>
      </c>
      <c r="N51" s="8" t="n"/>
    </row>
    <row r="52" ht="45" customHeight="1">
      <c r="A52" s="9" t="inlineStr">
        <is>
          <t>PCUs, Passenger Car Units</t>
        </is>
      </c>
      <c r="B52" s="18">
        <f>B50*B51</f>
        <v/>
      </c>
      <c r="C52" s="18">
        <f>C50*C51</f>
        <v/>
      </c>
      <c r="D52" s="18">
        <f>D50*D51</f>
        <v/>
      </c>
      <c r="E52" s="18">
        <f>E50*E51</f>
        <v/>
      </c>
      <c r="F52" s="18">
        <f>F50*F51</f>
        <v/>
      </c>
      <c r="G52" s="18">
        <f>G50*G51</f>
        <v/>
      </c>
      <c r="H52" s="18">
        <f>H50*H51</f>
        <v/>
      </c>
      <c r="I52" s="18">
        <f>I50*I51</f>
        <v/>
      </c>
      <c r="J52" s="18">
        <f>J50*J51</f>
        <v/>
      </c>
      <c r="K52" s="18">
        <f>K50*K51</f>
        <v/>
      </c>
      <c r="L52" s="18">
        <f>L50*L51</f>
        <v/>
      </c>
      <c r="M52" s="18">
        <f>M50*M51</f>
        <v/>
      </c>
      <c r="N52" s="19">
        <f>SUM(B52:M52)</f>
        <v/>
      </c>
    </row>
    <row r="54" ht="27.75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>
      <c r="A55" s="15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>
      <c r="A56" s="37" t="inlineStr">
        <is>
          <t>HOURLY (1HR) SUMMARY</t>
        </is>
      </c>
    </row>
    <row r="57" ht="9" customHeight="1"/>
    <row r="58" ht="75" customHeight="1">
      <c r="A58" s="1" t="n"/>
      <c r="B58" s="2" t="inlineStr">
        <is>
          <t>Motorcycle/Tuktuk</t>
        </is>
      </c>
      <c r="C58" s="2" t="inlineStr">
        <is>
          <t>Cars(&lt;=5seats)</t>
        </is>
      </c>
      <c r="D58" s="2" t="inlineStr">
        <is>
          <t>Large Cars,4WD,SUVs</t>
        </is>
      </c>
      <c r="E58" s="2" t="inlineStr">
        <is>
          <t>Pickups/Vans</t>
        </is>
      </c>
      <c r="F58" s="2" t="inlineStr">
        <is>
          <t>Minibus/Matatus(&lt;=14seat</t>
        </is>
      </c>
      <c r="G58" s="2" t="inlineStr">
        <is>
          <t>Small bus(14-33seat)</t>
        </is>
      </c>
      <c r="H58" s="2" t="inlineStr">
        <is>
          <t>Large bus(&gt;33seat)</t>
        </is>
      </c>
      <c r="I58" s="2" t="inlineStr">
        <is>
          <t>Light Trucks(2axles)</t>
        </is>
      </c>
      <c r="J58" s="2" t="inlineStr">
        <is>
          <t>Medium Trucks(2axle,Double rear wheel)</t>
        </is>
      </c>
      <c r="K58" s="2" t="inlineStr">
        <is>
          <t>Heavy Trucks(3, 4 axles)</t>
        </is>
      </c>
      <c r="L58" s="2" t="inlineStr">
        <is>
          <t>Artics/draw-bar trucks</t>
        </is>
      </c>
      <c r="M58" s="2" t="inlineStr">
        <is>
          <t>Others (e.g tractors)</t>
        </is>
      </c>
      <c r="N58" s="7" t="inlineStr">
        <is>
          <t>TOTALS</t>
        </is>
      </c>
    </row>
    <row r="59">
      <c r="A59" s="44" t="inlineStr">
        <is>
          <t>6 PM to 7 PM</t>
        </is>
      </c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6" t="n"/>
      <c r="N59" s="8" t="n"/>
    </row>
    <row r="60" ht="45" customHeight="1">
      <c r="A60" s="4" t="inlineStr">
        <is>
          <t>Mombasa Bound Lane 1</t>
        </is>
      </c>
      <c r="B60" s="3">
        <f>(B14+B25+B36+B47)</f>
        <v/>
      </c>
      <c r="C60" s="3">
        <f>(C14+C25+C36+C47)</f>
        <v/>
      </c>
      <c r="D60" s="3">
        <f>(D14+D25+D36+D47)</f>
        <v/>
      </c>
      <c r="E60" s="3">
        <f>(E14+E25+E36+E47)</f>
        <v/>
      </c>
      <c r="F60" s="3">
        <f>(F14+F25+F36+F47)</f>
        <v/>
      </c>
      <c r="G60" s="3">
        <f>(G14+G25+G36+G47)</f>
        <v/>
      </c>
      <c r="H60" s="3">
        <f>(H14+H25+H36+H47)</f>
        <v/>
      </c>
      <c r="I60" s="3">
        <f>(I14+I25+I36+I47)</f>
        <v/>
      </c>
      <c r="J60" s="3">
        <f>(J14+J25+J36+J47)</f>
        <v/>
      </c>
      <c r="K60" s="3">
        <f>(K14+K25+K36+K47)</f>
        <v/>
      </c>
      <c r="L60" s="3">
        <f>(L14+L25+L36+L47)</f>
        <v/>
      </c>
      <c r="M60" s="3">
        <f>(M14+M25+M36+M47)</f>
        <v/>
      </c>
      <c r="N60" s="20">
        <f>SUM(B60:M60)</f>
        <v/>
      </c>
    </row>
    <row r="61" ht="45" customHeight="1">
      <c r="A61" s="4" t="inlineStr">
        <is>
          <t>Mombasa Bound Lane 2</t>
        </is>
      </c>
      <c r="B61" s="3">
        <f>(B15+B26+B37+B48)</f>
        <v/>
      </c>
      <c r="C61" s="3">
        <f>(C15+C26+C37+C48)</f>
        <v/>
      </c>
      <c r="D61" s="3">
        <f>(D15+D26+D37+D48)</f>
        <v/>
      </c>
      <c r="E61" s="3">
        <f>(E15+E26+E37+E48)</f>
        <v/>
      </c>
      <c r="F61" s="3">
        <f>(F15+F26+F37+F48)</f>
        <v/>
      </c>
      <c r="G61" s="3">
        <f>(G15+G26+G37+G48)</f>
        <v/>
      </c>
      <c r="H61" s="3">
        <f>(H15+H26+H37+H48)</f>
        <v/>
      </c>
      <c r="I61" s="3">
        <f>(I15+I26+I37+I48)</f>
        <v/>
      </c>
      <c r="J61" s="3">
        <f>(J15+J26+J37+J48)</f>
        <v/>
      </c>
      <c r="K61" s="3">
        <f>(K15+K26+K37+K48)</f>
        <v/>
      </c>
      <c r="L61" s="3">
        <f>(L15+L26+L37+L48)</f>
        <v/>
      </c>
      <c r="M61" s="3">
        <f>(M15+M26+M37+M48)</f>
        <v/>
      </c>
      <c r="N61" s="20">
        <f>SUM(B61:M61)</f>
        <v/>
      </c>
    </row>
    <row r="62" ht="45" customHeight="1">
      <c r="A62" s="4" t="inlineStr">
        <is>
          <t>Mombasa Bound Lane 3</t>
        </is>
      </c>
      <c r="B62" s="3">
        <f>(B16+B27+B38+B49)</f>
        <v/>
      </c>
      <c r="C62" s="3">
        <f>(C16+C27+C38+C49)</f>
        <v/>
      </c>
      <c r="D62" s="3">
        <f>(D16+D27+D38+D49)</f>
        <v/>
      </c>
      <c r="E62" s="3">
        <f>(E16+E27+E38+E49)</f>
        <v/>
      </c>
      <c r="F62" s="3">
        <f>(F16+F27+F38+F49)</f>
        <v/>
      </c>
      <c r="G62" s="3">
        <f>(G16+G27+G38+G49)</f>
        <v/>
      </c>
      <c r="H62" s="3">
        <f>(H16+H27+H38+H49)</f>
        <v/>
      </c>
      <c r="I62" s="3">
        <f>(I16+I27+I38+I49)</f>
        <v/>
      </c>
      <c r="J62" s="3">
        <f>(J16+J27+J38+J49)</f>
        <v/>
      </c>
      <c r="K62" s="3">
        <f>(K16+K27+K38+K49)</f>
        <v/>
      </c>
      <c r="L62" s="3">
        <f>(L16+L27+L38+L49)</f>
        <v/>
      </c>
      <c r="M62" s="3">
        <f>(M16+M27+M38+M49)</f>
        <v/>
      </c>
      <c r="N62" s="20">
        <f>SUM(B62:M62)</f>
        <v/>
      </c>
    </row>
    <row r="63">
      <c r="A63" s="10" t="inlineStr">
        <is>
          <t>VEHICLES</t>
        </is>
      </c>
      <c r="B63" s="11">
        <f>SUM(B60:B62)</f>
        <v/>
      </c>
      <c r="C63" s="11">
        <f>SUM(C60:C62)</f>
        <v/>
      </c>
      <c r="D63" s="11">
        <f>SUM(D60:D62)</f>
        <v/>
      </c>
      <c r="E63" s="11">
        <f>SUM(E60:E62)</f>
        <v/>
      </c>
      <c r="F63" s="11">
        <f>SUM(F60:F62)</f>
        <v/>
      </c>
      <c r="G63" s="11">
        <f>SUM(G60:G62)</f>
        <v/>
      </c>
      <c r="H63" s="11">
        <f>SUM(H60:H62)</f>
        <v/>
      </c>
      <c r="I63" s="11">
        <f>SUM(I60:I62)</f>
        <v/>
      </c>
      <c r="J63" s="11">
        <f>SUM(J60:J62)</f>
        <v/>
      </c>
      <c r="K63" s="11">
        <f>SUM(K60:K62)</f>
        <v/>
      </c>
      <c r="L63" s="11">
        <f>SUM(L60:L62)</f>
        <v/>
      </c>
      <c r="M63" s="11">
        <f>SUM(M60:M62)</f>
        <v/>
      </c>
      <c r="N63" s="11">
        <f>SUM(B63:M63)</f>
        <v/>
      </c>
    </row>
    <row r="64" ht="30" customHeight="1">
      <c r="A64" s="16" t="inlineStr">
        <is>
          <t>Conversion Factor</t>
        </is>
      </c>
      <c r="B64" s="17" t="n">
        <v>0.5</v>
      </c>
      <c r="C64" s="17" t="n">
        <v>1</v>
      </c>
      <c r="D64" s="17" t="n">
        <v>1</v>
      </c>
      <c r="E64" s="17" t="n">
        <v>1.75</v>
      </c>
      <c r="F64" s="17" t="n">
        <v>1.75</v>
      </c>
      <c r="G64" s="17" t="n">
        <v>2</v>
      </c>
      <c r="H64" s="17" t="n">
        <v>2.5</v>
      </c>
      <c r="I64" s="17" t="n">
        <v>1.25</v>
      </c>
      <c r="J64" s="17" t="n">
        <v>1.5</v>
      </c>
      <c r="K64" s="17" t="n">
        <v>2.75</v>
      </c>
      <c r="L64" s="17" t="n">
        <v>3</v>
      </c>
      <c r="M64" s="17" t="n">
        <v>2</v>
      </c>
      <c r="N64" s="8" t="n"/>
    </row>
    <row r="65" ht="45" customHeight="1">
      <c r="A65" s="9" t="inlineStr">
        <is>
          <t>PCUs, Passenger Car Units</t>
        </is>
      </c>
      <c r="B65" s="18">
        <f>B63*B64</f>
        <v/>
      </c>
      <c r="C65" s="18">
        <f>C63*C64</f>
        <v/>
      </c>
      <c r="D65" s="18">
        <f>D63*D64</f>
        <v/>
      </c>
      <c r="E65" s="18">
        <f>E63*E64</f>
        <v/>
      </c>
      <c r="F65" s="18">
        <f>F63*F64</f>
        <v/>
      </c>
      <c r="G65" s="18">
        <f>G63*G64</f>
        <v/>
      </c>
      <c r="H65" s="18">
        <f>H63*H64</f>
        <v/>
      </c>
      <c r="I65" s="18">
        <f>I63*I64</f>
        <v/>
      </c>
      <c r="J65" s="18">
        <f>J63*J64</f>
        <v/>
      </c>
      <c r="K65" s="18">
        <f>K63*K64</f>
        <v/>
      </c>
      <c r="L65" s="18">
        <f>L63*L64</f>
        <v/>
      </c>
      <c r="M65" s="18">
        <f>M63*M64</f>
        <v/>
      </c>
      <c r="N65" s="19">
        <f>SUM(B65:M65)</f>
        <v/>
      </c>
    </row>
    <row r="67"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>
        <f>ROUND(N65/(MAX(N19,N30,N41,N52)*4),2)</f>
        <v/>
      </c>
    </row>
    <row r="73" ht="34.5" customHeight="1"/>
    <row r="82">
      <c r="A82" s="15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</row>
    <row r="83">
      <c r="A83" s="15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</row>
    <row r="84">
      <c r="A84" s="15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</sheetData>
  <mergeCells count="13">
    <mergeCell ref="A46:M46"/>
    <mergeCell ref="A9:N9"/>
    <mergeCell ref="A13:M13"/>
    <mergeCell ref="A56:N56"/>
    <mergeCell ref="A3:N3"/>
    <mergeCell ref="A6:N6"/>
    <mergeCell ref="A35:M35"/>
    <mergeCell ref="A7:N7"/>
    <mergeCell ref="A10:N10"/>
    <mergeCell ref="A5:N5"/>
    <mergeCell ref="A59:M59"/>
    <mergeCell ref="A24:M24"/>
    <mergeCell ref="A1:N1"/>
  </mergeCells>
  <pageMargins left="0.7" right="0.7" top="0.75" bottom="0.75" header="0.3" footer="0.3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26"/>
  <sheetViews>
    <sheetView tabSelected="1" view="pageBreakPreview" topLeftCell="A101" zoomScaleNormal="100" zoomScaleSheetLayoutView="100" workbookViewId="0">
      <selection activeCell="Q14" sqref="Q14"/>
    </sheetView>
  </sheetViews>
  <sheetFormatPr baseColWidth="8" defaultRowHeight="15"/>
  <cols>
    <col width="15" customWidth="1" min="1" max="1"/>
  </cols>
  <sheetData>
    <row r="1">
      <c r="A1" s="30" t="inlineStr">
        <is>
          <t>DAILY TOTALS (12 hour Traffic Volume Counts)</t>
        </is>
      </c>
    </row>
    <row r="2" ht="18" customHeight="1"/>
    <row r="3">
      <c r="A3" s="38">
        <f>'7-8AM'!A3:N3</f>
        <v/>
      </c>
    </row>
    <row r="4" ht="9" customHeight="1"/>
    <row r="5">
      <c r="A5" s="39">
        <f>'7-8AM'!A5:N5</f>
        <v/>
      </c>
    </row>
    <row r="6">
      <c r="A6" s="39">
        <f>'7-8AM'!A6:N6</f>
        <v/>
      </c>
    </row>
    <row r="7">
      <c r="A7" s="39">
        <f>'7-8AM'!A7:N7</f>
        <v/>
      </c>
    </row>
    <row r="8" ht="7.5" customHeight="1"/>
    <row r="9">
      <c r="A9" s="35" t="inlineStr">
        <is>
          <t>TRAFFIC VOLUME COUNTS DATA (RAW DATA)</t>
        </is>
      </c>
    </row>
    <row r="10">
      <c r="A10" s="34" t="inlineStr">
        <is>
          <t>HOURS VOLUMES VS DAILY VOLUMES</t>
        </is>
      </c>
    </row>
    <row r="1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</row>
    <row r="12">
      <c r="A12" s="38" t="inlineStr">
        <is>
          <t>HOURLY PER DAY</t>
        </is>
      </c>
    </row>
    <row r="13" ht="9" customHeight="1"/>
    <row r="14" ht="71.25" customHeight="1">
      <c r="A14" s="1" t="inlineStr">
        <is>
          <t>TIME</t>
        </is>
      </c>
      <c r="B14" s="2" t="inlineStr">
        <is>
          <t>Motorcycle/Tuktuk</t>
        </is>
      </c>
      <c r="C14" s="2" t="inlineStr">
        <is>
          <t>Cars(&lt;=5seats)</t>
        </is>
      </c>
      <c r="D14" s="2" t="inlineStr">
        <is>
          <t>Large Cars,4WD,SUVs</t>
        </is>
      </c>
      <c r="E14" s="2" t="inlineStr">
        <is>
          <t>Pickups/Vans</t>
        </is>
      </c>
      <c r="F14" s="2" t="inlineStr">
        <is>
          <t>Minibus/Matatus(&lt;=14seat</t>
        </is>
      </c>
      <c r="G14" s="2" t="inlineStr">
        <is>
          <t>Small bus(14-33seat)</t>
        </is>
      </c>
      <c r="H14" s="2" t="inlineStr">
        <is>
          <t>Large bus(&gt;33seat)</t>
        </is>
      </c>
      <c r="I14" s="2" t="inlineStr">
        <is>
          <t>Light Trucks(2axles)</t>
        </is>
      </c>
      <c r="J14" s="2" t="inlineStr">
        <is>
          <t>Medium Trucks(2axle,Double rear wheel)</t>
        </is>
      </c>
      <c r="K14" s="2" t="inlineStr">
        <is>
          <t>Heavy Trucks(3, 4 axles)</t>
        </is>
      </c>
      <c r="L14" s="2" t="inlineStr">
        <is>
          <t>Artics/draw-bar trucks</t>
        </is>
      </c>
      <c r="M14" s="2" t="inlineStr">
        <is>
          <t>Others (e.g tractors)</t>
        </is>
      </c>
      <c r="N14" s="7" t="inlineStr">
        <is>
          <t>TOTALS</t>
        </is>
      </c>
    </row>
    <row r="15" ht="15.75" customHeight="1">
      <c r="A15" s="44" t="inlineStr">
        <is>
          <t>7:00AM-8:00AM</t>
        </is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6" t="n"/>
      <c r="N15" s="23" t="n"/>
    </row>
    <row r="16" ht="31.5" customHeight="1">
      <c r="A16" s="4" t="inlineStr">
        <is>
          <t>Mombasa Bound Lane 1</t>
        </is>
      </c>
      <c r="B16" s="3">
        <f>'7-8AM'!B60</f>
        <v/>
      </c>
      <c r="C16" s="3">
        <f>'7-8AM'!C60</f>
        <v/>
      </c>
      <c r="D16" s="3">
        <f>'7-8AM'!D60</f>
        <v/>
      </c>
      <c r="E16" s="3">
        <f>'7-8AM'!E60</f>
        <v/>
      </c>
      <c r="F16" s="3">
        <f>'7-8AM'!F60</f>
        <v/>
      </c>
      <c r="G16" s="3">
        <f>'7-8AM'!G60</f>
        <v/>
      </c>
      <c r="H16" s="3">
        <f>'7-8AM'!H60</f>
        <v/>
      </c>
      <c r="I16" s="3">
        <f>'7-8AM'!I60</f>
        <v/>
      </c>
      <c r="J16" s="3">
        <f>'7-8AM'!J60</f>
        <v/>
      </c>
      <c r="K16" s="3">
        <f>'7-8AM'!K60</f>
        <v/>
      </c>
      <c r="L16" s="3">
        <f>'7-8AM'!L60</f>
        <v/>
      </c>
      <c r="M16" s="3">
        <f>'7-8AM'!M60</f>
        <v/>
      </c>
      <c r="N16" s="22">
        <f>'7-8AM'!N60</f>
        <v/>
      </c>
    </row>
    <row r="17" ht="30.75" customHeight="1">
      <c r="A17" s="4" t="inlineStr">
        <is>
          <t>Mombasa Bound Lane 2</t>
        </is>
      </c>
      <c r="B17" s="3">
        <f>'7-8AM'!B61</f>
        <v/>
      </c>
      <c r="C17" s="3">
        <f>'7-8AM'!C61</f>
        <v/>
      </c>
      <c r="D17" s="3">
        <f>'7-8AM'!D61</f>
        <v/>
      </c>
      <c r="E17" s="3">
        <f>'7-8AM'!E61</f>
        <v/>
      </c>
      <c r="F17" s="3">
        <f>'7-8AM'!F61</f>
        <v/>
      </c>
      <c r="G17" s="3">
        <f>'7-8AM'!G61</f>
        <v/>
      </c>
      <c r="H17" s="3">
        <f>'7-8AM'!H61</f>
        <v/>
      </c>
      <c r="I17" s="3">
        <f>'7-8AM'!I61</f>
        <v/>
      </c>
      <c r="J17" s="3">
        <f>'7-8AM'!J61</f>
        <v/>
      </c>
      <c r="K17" s="3">
        <f>'7-8AM'!K61</f>
        <v/>
      </c>
      <c r="L17" s="3">
        <f>'7-8AM'!L61</f>
        <v/>
      </c>
      <c r="M17" s="3">
        <f>'7-8AM'!M61</f>
        <v/>
      </c>
      <c r="N17" s="22">
        <f>'7-8AM'!N61</f>
        <v/>
      </c>
    </row>
    <row r="18" ht="30" customHeight="1">
      <c r="A18" s="4" t="inlineStr">
        <is>
          <t>Mombasa Bound Lane 3</t>
        </is>
      </c>
      <c r="B18" s="3">
        <f>'7-8AM'!B62</f>
        <v/>
      </c>
      <c r="C18" s="3">
        <f>'7-8AM'!C62</f>
        <v/>
      </c>
      <c r="D18" s="3">
        <f>'7-8AM'!D62</f>
        <v/>
      </c>
      <c r="E18" s="3">
        <f>'7-8AM'!E62</f>
        <v/>
      </c>
      <c r="F18" s="3">
        <f>'7-8AM'!F62</f>
        <v/>
      </c>
      <c r="G18" s="3">
        <f>'7-8AM'!G62</f>
        <v/>
      </c>
      <c r="H18" s="3">
        <f>'7-8AM'!H62</f>
        <v/>
      </c>
      <c r="I18" s="3">
        <f>'7-8AM'!I62</f>
        <v/>
      </c>
      <c r="J18" s="3">
        <f>'7-8AM'!J62</f>
        <v/>
      </c>
      <c r="K18" s="3">
        <f>'7-8AM'!K62</f>
        <v/>
      </c>
      <c r="L18" s="3">
        <f>'7-8AM'!L62</f>
        <v/>
      </c>
      <c r="M18" s="3">
        <f>'7-8AM'!M62</f>
        <v/>
      </c>
      <c r="N18" s="22">
        <f>'7-8AM'!N62</f>
        <v/>
      </c>
    </row>
    <row r="19">
      <c r="A19" s="21" t="inlineStr">
        <is>
          <t>TOTAL</t>
        </is>
      </c>
      <c r="B19" s="1">
        <f>SUM(B16:B18)</f>
        <v/>
      </c>
      <c r="C19" s="1">
        <f>SUM(C16:C18)</f>
        <v/>
      </c>
      <c r="D19" s="1">
        <f>SUM(D16:D18)</f>
        <v/>
      </c>
      <c r="E19" s="1">
        <f>SUM(E16:E18)</f>
        <v/>
      </c>
      <c r="F19" s="1">
        <f>SUM(F16:F18)</f>
        <v/>
      </c>
      <c r="G19" s="1">
        <f>SUM(G16:G18)</f>
        <v/>
      </c>
      <c r="H19" s="1">
        <f>SUM(H16:H18)</f>
        <v/>
      </c>
      <c r="I19" s="1">
        <f>SUM(I16:I18)</f>
        <v/>
      </c>
      <c r="J19" s="1">
        <f>SUM(J16:J18)</f>
        <v/>
      </c>
      <c r="K19" s="1">
        <f>SUM(K16:K18)</f>
        <v/>
      </c>
      <c r="L19" s="1">
        <f>SUM(L16:L18)</f>
        <v/>
      </c>
      <c r="M19" s="1">
        <f>SUM(M16:M18)</f>
        <v/>
      </c>
      <c r="N19" s="22">
        <f>SUM(B19:M19)</f>
        <v/>
      </c>
    </row>
    <row r="20">
      <c r="A20" s="5" t="n"/>
    </row>
    <row r="21">
      <c r="A21" s="5" t="n"/>
    </row>
    <row r="22">
      <c r="A22" s="44" t="inlineStr">
        <is>
          <t>8:00AM-9:00AM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6" t="n"/>
      <c r="N22" s="23" t="n"/>
    </row>
    <row r="23" ht="7.5" customHeight="1">
      <c r="A23" s="40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2" t="n"/>
      <c r="N23" s="23" t="n"/>
    </row>
    <row r="24" ht="34.5" customHeight="1">
      <c r="A24" s="4" t="inlineStr">
        <is>
          <t>Mombasa Bound Lane 1</t>
        </is>
      </c>
      <c r="B24" s="3">
        <f>'8-9 AM'!B60</f>
        <v/>
      </c>
      <c r="C24" s="3">
        <f>'8-9 AM'!C60</f>
        <v/>
      </c>
      <c r="D24" s="3">
        <f>'8-9 AM'!D60</f>
        <v/>
      </c>
      <c r="E24" s="3">
        <f>'8-9 AM'!E60</f>
        <v/>
      </c>
      <c r="F24" s="3">
        <f>'8-9 AM'!F60</f>
        <v/>
      </c>
      <c r="G24" s="3">
        <f>'8-9 AM'!G60</f>
        <v/>
      </c>
      <c r="H24" s="3">
        <f>'8-9 AM'!H60</f>
        <v/>
      </c>
      <c r="I24" s="3">
        <f>'8-9 AM'!I60</f>
        <v/>
      </c>
      <c r="J24" s="3">
        <f>'8-9 AM'!J60</f>
        <v/>
      </c>
      <c r="K24" s="3">
        <f>'8-9 AM'!K60</f>
        <v/>
      </c>
      <c r="L24" s="3">
        <f>'8-9 AM'!L60</f>
        <v/>
      </c>
      <c r="M24" s="3">
        <f>'8-9 AM'!M60</f>
        <v/>
      </c>
      <c r="N24" s="20">
        <f>'[1]8-9 AM'!N60</f>
        <v/>
      </c>
    </row>
    <row r="25" ht="30" customHeight="1">
      <c r="A25" s="4" t="inlineStr">
        <is>
          <t>Mombasa Bound Lane 2</t>
        </is>
      </c>
      <c r="B25" s="3">
        <f>'8-9 AM'!B61</f>
        <v/>
      </c>
      <c r="C25" s="3">
        <f>'8-9 AM'!C61</f>
        <v/>
      </c>
      <c r="D25" s="3">
        <f>'8-9 AM'!D61</f>
        <v/>
      </c>
      <c r="E25" s="3">
        <f>'8-9 AM'!E61</f>
        <v/>
      </c>
      <c r="F25" s="3">
        <f>'8-9 AM'!F61</f>
        <v/>
      </c>
      <c r="G25" s="3">
        <f>'8-9 AM'!G61</f>
        <v/>
      </c>
      <c r="H25" s="3">
        <f>'8-9 AM'!H61</f>
        <v/>
      </c>
      <c r="I25" s="3">
        <f>'8-9 AM'!I61</f>
        <v/>
      </c>
      <c r="J25" s="3">
        <f>'8-9 AM'!J61</f>
        <v/>
      </c>
      <c r="K25" s="3">
        <f>'8-9 AM'!K61</f>
        <v/>
      </c>
      <c r="L25" s="3">
        <f>'8-9 AM'!L61</f>
        <v/>
      </c>
      <c r="M25" s="3">
        <f>'8-9 AM'!M61</f>
        <v/>
      </c>
      <c r="N25" s="20">
        <f>'[1]8-9 AM'!N61</f>
        <v/>
      </c>
    </row>
    <row r="26" ht="30" customHeight="1">
      <c r="A26" s="4" t="inlineStr">
        <is>
          <t>Mombasa Bound Lane 3</t>
        </is>
      </c>
      <c r="B26" s="3">
        <f>'8-9 AM'!B62</f>
        <v/>
      </c>
      <c r="C26" s="3">
        <f>'8-9 AM'!C62</f>
        <v/>
      </c>
      <c r="D26" s="3">
        <f>'8-9 AM'!D62</f>
        <v/>
      </c>
      <c r="E26" s="3">
        <f>'8-9 AM'!E62</f>
        <v/>
      </c>
      <c r="F26" s="3">
        <f>'8-9 AM'!F62</f>
        <v/>
      </c>
      <c r="G26" s="3">
        <f>'8-9 AM'!G62</f>
        <v/>
      </c>
      <c r="H26" s="3">
        <f>'8-9 AM'!H62</f>
        <v/>
      </c>
      <c r="I26" s="3">
        <f>'8-9 AM'!I62</f>
        <v/>
      </c>
      <c r="J26" s="3">
        <f>'8-9 AM'!J62</f>
        <v/>
      </c>
      <c r="K26" s="3">
        <f>'8-9 AM'!K62</f>
        <v/>
      </c>
      <c r="L26" s="3">
        <f>'8-9 AM'!L62</f>
        <v/>
      </c>
      <c r="M26" s="3">
        <f>'8-9 AM'!M62</f>
        <v/>
      </c>
      <c r="N26" s="20">
        <f>'[1]8-9 AM'!N62</f>
        <v/>
      </c>
    </row>
    <row r="27">
      <c r="A27" s="21" t="inlineStr">
        <is>
          <t>TOTAL</t>
        </is>
      </c>
      <c r="B27" s="1">
        <f>SUM(B24:B26)</f>
        <v/>
      </c>
      <c r="C27" s="1">
        <f>SUM(C24:C26)</f>
        <v/>
      </c>
      <c r="D27" s="1">
        <f>SUM(D24:D26)</f>
        <v/>
      </c>
      <c r="E27" s="1">
        <f>SUM(E24:E26)</f>
        <v/>
      </c>
      <c r="F27" s="1">
        <f>SUM(F24:F26)</f>
        <v/>
      </c>
      <c r="G27" s="1">
        <f>SUM(G24:G26)</f>
        <v/>
      </c>
      <c r="H27" s="1">
        <f>SUM(H24:H26)</f>
        <v/>
      </c>
      <c r="I27" s="1">
        <f>SUM(I24:I26)</f>
        <v/>
      </c>
      <c r="J27" s="1">
        <f>SUM(J24:J26)</f>
        <v/>
      </c>
      <c r="K27" s="1">
        <f>SUM(K24:K26)</f>
        <v/>
      </c>
      <c r="L27" s="1">
        <f>SUM(L24:L26)</f>
        <v/>
      </c>
      <c r="M27" s="1">
        <f>SUM(M24:M26)</f>
        <v/>
      </c>
      <c r="N27" s="22">
        <f>SUM(B27:M27)</f>
        <v/>
      </c>
    </row>
    <row r="28">
      <c r="A28" s="5" t="n"/>
    </row>
    <row r="29">
      <c r="A29" s="5" t="n"/>
    </row>
    <row r="30">
      <c r="A30" s="44" t="inlineStr">
        <is>
          <t>9:00AM-10:00AM</t>
        </is>
      </c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6" t="n"/>
      <c r="N30" s="23" t="n"/>
    </row>
    <row r="31" ht="28.5" customHeight="1">
      <c r="A31" s="4" t="inlineStr">
        <is>
          <t>Mombasa Bound Lane 1</t>
        </is>
      </c>
      <c r="B31" s="3">
        <f>'9-10AM'!B60</f>
        <v/>
      </c>
      <c r="C31" s="3">
        <f>'9-10AM'!C60</f>
        <v/>
      </c>
      <c r="D31" s="3">
        <f>'9-10AM'!D60</f>
        <v/>
      </c>
      <c r="E31" s="3">
        <f>'9-10AM'!E60</f>
        <v/>
      </c>
      <c r="F31" s="3">
        <f>'9-10AM'!F60</f>
        <v/>
      </c>
      <c r="G31" s="3">
        <f>'9-10AM'!G60</f>
        <v/>
      </c>
      <c r="H31" s="3">
        <f>'9-10AM'!H60</f>
        <v/>
      </c>
      <c r="I31" s="3">
        <f>'9-10AM'!I60</f>
        <v/>
      </c>
      <c r="J31" s="3">
        <f>'9-10AM'!J60</f>
        <v/>
      </c>
      <c r="K31" s="3">
        <f>'9-10AM'!K60</f>
        <v/>
      </c>
      <c r="L31" s="3">
        <f>'9-10AM'!L60</f>
        <v/>
      </c>
      <c r="M31" s="3">
        <f>'9-10AM'!M60</f>
        <v/>
      </c>
      <c r="N31" s="20">
        <f>'9-10AM'!N60</f>
        <v/>
      </c>
    </row>
    <row r="32" ht="30.75" customHeight="1">
      <c r="A32" s="4" t="inlineStr">
        <is>
          <t>Mombasa Bound Lane 2</t>
        </is>
      </c>
      <c r="B32" s="3">
        <f>'9-10AM'!B61</f>
        <v/>
      </c>
      <c r="C32" s="3">
        <f>'9-10AM'!C61</f>
        <v/>
      </c>
      <c r="D32" s="3">
        <f>'9-10AM'!D61</f>
        <v/>
      </c>
      <c r="E32" s="3">
        <f>'9-10AM'!E61</f>
        <v/>
      </c>
      <c r="F32" s="3">
        <f>'9-10AM'!F61</f>
        <v/>
      </c>
      <c r="G32" s="3">
        <f>'9-10AM'!G61</f>
        <v/>
      </c>
      <c r="H32" s="3">
        <f>'9-10AM'!H61</f>
        <v/>
      </c>
      <c r="I32" s="3">
        <f>'9-10AM'!I61</f>
        <v/>
      </c>
      <c r="J32" s="3">
        <f>'9-10AM'!J61</f>
        <v/>
      </c>
      <c r="K32" s="3">
        <f>'9-10AM'!K61</f>
        <v/>
      </c>
      <c r="L32" s="3">
        <f>'9-10AM'!L61</f>
        <v/>
      </c>
      <c r="M32" s="3">
        <f>'9-10AM'!M61</f>
        <v/>
      </c>
      <c r="N32" s="20">
        <f>'9-10AM'!N61</f>
        <v/>
      </c>
    </row>
    <row r="33" ht="32.25" customHeight="1">
      <c r="A33" s="4" t="inlineStr">
        <is>
          <t>Mombasa Bound Lane 3</t>
        </is>
      </c>
      <c r="B33" s="3">
        <f>'9-10AM'!B62</f>
        <v/>
      </c>
      <c r="C33" s="3">
        <f>'9-10AM'!C62</f>
        <v/>
      </c>
      <c r="D33" s="3">
        <f>'9-10AM'!D62</f>
        <v/>
      </c>
      <c r="E33" s="3">
        <f>'9-10AM'!E62</f>
        <v/>
      </c>
      <c r="F33" s="3">
        <f>'9-10AM'!F62</f>
        <v/>
      </c>
      <c r="G33" s="3">
        <f>'9-10AM'!G62</f>
        <v/>
      </c>
      <c r="H33" s="3">
        <f>'9-10AM'!H62</f>
        <v/>
      </c>
      <c r="I33" s="3">
        <f>'9-10AM'!I62</f>
        <v/>
      </c>
      <c r="J33" s="3">
        <f>'9-10AM'!J62</f>
        <v/>
      </c>
      <c r="K33" s="3">
        <f>'9-10AM'!K62</f>
        <v/>
      </c>
      <c r="L33" s="3">
        <f>'9-10AM'!L62</f>
        <v/>
      </c>
      <c r="M33" s="3">
        <f>'9-10AM'!M62</f>
        <v/>
      </c>
      <c r="N33" s="20">
        <f>'9-10AM'!N62</f>
        <v/>
      </c>
    </row>
    <row r="34">
      <c r="A34" s="21" t="inlineStr">
        <is>
          <t>TOTAL</t>
        </is>
      </c>
      <c r="B34" s="1">
        <f>SUM(B31:B33)</f>
        <v/>
      </c>
      <c r="C34" s="3">
        <f>SUM(C31:C33)</f>
        <v/>
      </c>
      <c r="D34" s="1">
        <f>SUM(D31:D33)</f>
        <v/>
      </c>
      <c r="E34" s="1">
        <f>SUM(E31:E33)</f>
        <v/>
      </c>
      <c r="F34" s="1">
        <f>SUM(F31:F33)</f>
        <v/>
      </c>
      <c r="G34" s="1">
        <f>SUM(G31:G33)</f>
        <v/>
      </c>
      <c r="H34" s="1">
        <f>SUM(H31:H33)</f>
        <v/>
      </c>
      <c r="I34" s="1">
        <f>SUM(I31:I33)</f>
        <v/>
      </c>
      <c r="J34" s="1">
        <f>SUM(J31:J33)</f>
        <v/>
      </c>
      <c r="K34" s="1">
        <f>SUM(K31:K33)</f>
        <v/>
      </c>
      <c r="L34" s="1">
        <f>SUM(L31:L33)</f>
        <v/>
      </c>
      <c r="M34" s="1">
        <f>SUM(M31:M33)</f>
        <v/>
      </c>
      <c r="N34" s="22">
        <f>SUM(B34:M34)</f>
        <v/>
      </c>
    </row>
    <row r="35">
      <c r="A35" s="5" t="n"/>
    </row>
    <row r="36">
      <c r="A36" s="5" t="n"/>
    </row>
    <row r="37">
      <c r="A37" s="44" t="inlineStr">
        <is>
          <t>10:00AM-11:00AM</t>
        </is>
      </c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6" t="n"/>
      <c r="N37" s="23" t="n"/>
    </row>
    <row r="38" ht="30" customHeight="1">
      <c r="A38" s="4" t="inlineStr">
        <is>
          <t>Mombasa Bound Lane 1</t>
        </is>
      </c>
      <c r="B38" s="3">
        <f>'10-11AM'!B60</f>
        <v/>
      </c>
      <c r="C38" s="3">
        <f>'10-11AM'!C60</f>
        <v/>
      </c>
      <c r="D38" s="3">
        <f>'10-11AM'!D60</f>
        <v/>
      </c>
      <c r="E38" s="3">
        <f>'10-11AM'!E60</f>
        <v/>
      </c>
      <c r="F38" s="3">
        <f>'10-11AM'!F60</f>
        <v/>
      </c>
      <c r="G38" s="3">
        <f>'10-11AM'!G60</f>
        <v/>
      </c>
      <c r="H38" s="3">
        <f>'10-11AM'!H60</f>
        <v/>
      </c>
      <c r="I38" s="3">
        <f>'10-11AM'!I60</f>
        <v/>
      </c>
      <c r="J38" s="3">
        <f>'10-11AM'!J60</f>
        <v/>
      </c>
      <c r="K38" s="3">
        <f>'10-11AM'!K60</f>
        <v/>
      </c>
      <c r="L38" s="3">
        <f>'10-11AM'!L60</f>
        <v/>
      </c>
      <c r="M38" s="3">
        <f>'10-11AM'!M60</f>
        <v/>
      </c>
      <c r="N38" s="20">
        <f>'10-11AM'!N60</f>
        <v/>
      </c>
    </row>
    <row r="39" ht="30" customHeight="1">
      <c r="A39" s="4" t="inlineStr">
        <is>
          <t>Mombasa Bound Lane 2</t>
        </is>
      </c>
      <c r="B39" s="3">
        <f>'10-11AM'!B61</f>
        <v/>
      </c>
      <c r="C39" s="3">
        <f>'10-11AM'!C61</f>
        <v/>
      </c>
      <c r="D39" s="3">
        <f>'10-11AM'!D61</f>
        <v/>
      </c>
      <c r="E39" s="3">
        <f>'10-11AM'!E61</f>
        <v/>
      </c>
      <c r="F39" s="3">
        <f>'10-11AM'!F61</f>
        <v/>
      </c>
      <c r="G39" s="3">
        <f>'10-11AM'!G61</f>
        <v/>
      </c>
      <c r="H39" s="3">
        <f>'10-11AM'!H61</f>
        <v/>
      </c>
      <c r="I39" s="3">
        <f>'10-11AM'!I61</f>
        <v/>
      </c>
      <c r="J39" s="3">
        <f>'10-11AM'!J61</f>
        <v/>
      </c>
      <c r="K39" s="3">
        <f>'10-11AM'!K61</f>
        <v/>
      </c>
      <c r="L39" s="3">
        <f>'10-11AM'!L61</f>
        <v/>
      </c>
      <c r="M39" s="3">
        <f>'10-11AM'!M61</f>
        <v/>
      </c>
      <c r="N39" s="20">
        <f>'10-11AM'!N61</f>
        <v/>
      </c>
    </row>
    <row r="40" ht="30" customHeight="1">
      <c r="A40" s="4" t="inlineStr">
        <is>
          <t>Mombasa Bound Lane 3</t>
        </is>
      </c>
      <c r="B40" s="3">
        <f>'10-11AM'!B62</f>
        <v/>
      </c>
      <c r="C40" s="3">
        <f>'10-11AM'!C62</f>
        <v/>
      </c>
      <c r="D40" s="3">
        <f>'10-11AM'!D62</f>
        <v/>
      </c>
      <c r="E40" s="3">
        <f>'10-11AM'!E62</f>
        <v/>
      </c>
      <c r="F40" s="3">
        <f>'10-11AM'!F62</f>
        <v/>
      </c>
      <c r="G40" s="3">
        <f>'10-11AM'!G62</f>
        <v/>
      </c>
      <c r="H40" s="3">
        <f>'10-11AM'!H62</f>
        <v/>
      </c>
      <c r="I40" s="3">
        <f>'10-11AM'!I62</f>
        <v/>
      </c>
      <c r="J40" s="3">
        <f>'10-11AM'!J62</f>
        <v/>
      </c>
      <c r="K40" s="3">
        <f>'10-11AM'!K62</f>
        <v/>
      </c>
      <c r="L40" s="3">
        <f>'10-11AM'!L62</f>
        <v/>
      </c>
      <c r="M40" s="3">
        <f>'10-11AM'!M62</f>
        <v/>
      </c>
      <c r="N40" s="20">
        <f>'10-11AM'!N62</f>
        <v/>
      </c>
    </row>
    <row r="41">
      <c r="A41" s="21" t="inlineStr">
        <is>
          <t>TOTAL</t>
        </is>
      </c>
      <c r="B41" s="1">
        <f>SUM(B38:B40)</f>
        <v/>
      </c>
      <c r="C41" s="1">
        <f>SUM(C38:C40)</f>
        <v/>
      </c>
      <c r="D41" s="1">
        <f>SUM(D38:D40)</f>
        <v/>
      </c>
      <c r="E41" s="1">
        <f>SUM(E38:E40)</f>
        <v/>
      </c>
      <c r="F41" s="1">
        <f>SUM(F38:F40)</f>
        <v/>
      </c>
      <c r="G41" s="1">
        <f>SUM(G38:G40)</f>
        <v/>
      </c>
      <c r="H41" s="1">
        <f>SUM(H38:H40)</f>
        <v/>
      </c>
      <c r="I41" s="1">
        <f>SUM(I38:I40)</f>
        <v/>
      </c>
      <c r="J41" s="1">
        <f>SUM(J38:J40)</f>
        <v/>
      </c>
      <c r="K41" s="1">
        <f>SUM(K38:K40)</f>
        <v/>
      </c>
      <c r="L41" s="1">
        <f>SUM(L38:L40)</f>
        <v/>
      </c>
      <c r="M41" s="1">
        <f>SUM(M38:M40)</f>
        <v/>
      </c>
      <c r="N41" s="22">
        <f>SUM(B41:M41)</f>
        <v/>
      </c>
    </row>
    <row r="42">
      <c r="A42" s="5" t="n"/>
    </row>
    <row r="43">
      <c r="A43" s="5" t="n"/>
    </row>
    <row r="44">
      <c r="A44" s="44" t="inlineStr">
        <is>
          <t>11:00AM-12:00AM</t>
        </is>
      </c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6" t="n"/>
      <c r="N44" s="23" t="n"/>
    </row>
    <row r="45" ht="30" customHeight="1">
      <c r="A45" s="4" t="inlineStr">
        <is>
          <t>Mombasa Bound Lane 1</t>
        </is>
      </c>
      <c r="B45" s="3">
        <f>'11-12AM'!B60</f>
        <v/>
      </c>
      <c r="C45" s="3">
        <f>'11-12AM'!C60</f>
        <v/>
      </c>
      <c r="D45" s="3">
        <f>'11-12AM'!D60</f>
        <v/>
      </c>
      <c r="E45" s="3">
        <f>'11-12AM'!E60</f>
        <v/>
      </c>
      <c r="F45" s="3">
        <f>'11-12AM'!F60</f>
        <v/>
      </c>
      <c r="G45" s="3">
        <f>'11-12AM'!G60</f>
        <v/>
      </c>
      <c r="H45" s="3">
        <f>'11-12AM'!H60</f>
        <v/>
      </c>
      <c r="I45" s="3">
        <f>'11-12AM'!I60</f>
        <v/>
      </c>
      <c r="J45" s="3">
        <f>'11-12AM'!J60</f>
        <v/>
      </c>
      <c r="K45" s="3">
        <f>'11-12AM'!K60</f>
        <v/>
      </c>
      <c r="L45" s="3">
        <f>'11-12AM'!L60</f>
        <v/>
      </c>
      <c r="M45" s="3">
        <f>'11-12AM'!M60</f>
        <v/>
      </c>
      <c r="N45" s="20">
        <f>'11-12AM'!N60</f>
        <v/>
      </c>
    </row>
    <row r="46" ht="30" customHeight="1">
      <c r="A46" s="4" t="inlineStr">
        <is>
          <t>Mombasa Bound Lane 2</t>
        </is>
      </c>
      <c r="B46" s="3">
        <f>'11-12AM'!B61</f>
        <v/>
      </c>
      <c r="C46" s="3">
        <f>'11-12AM'!C61</f>
        <v/>
      </c>
      <c r="D46" s="3">
        <f>'11-12AM'!D61</f>
        <v/>
      </c>
      <c r="E46" s="3">
        <f>'11-12AM'!E61</f>
        <v/>
      </c>
      <c r="F46" s="3">
        <f>'11-12AM'!F61</f>
        <v/>
      </c>
      <c r="G46" s="3">
        <f>'11-12AM'!G61</f>
        <v/>
      </c>
      <c r="H46" s="3">
        <f>'11-12AM'!H61</f>
        <v/>
      </c>
      <c r="I46" s="3">
        <f>'11-12AM'!I61</f>
        <v/>
      </c>
      <c r="J46" s="3">
        <f>'11-12AM'!J61</f>
        <v/>
      </c>
      <c r="K46" s="3">
        <f>'11-12AM'!K61</f>
        <v/>
      </c>
      <c r="L46" s="3">
        <f>'11-12AM'!L61</f>
        <v/>
      </c>
      <c r="M46" s="3">
        <f>'11-12AM'!M61</f>
        <v/>
      </c>
      <c r="N46" s="20">
        <f>'11-12AM'!N61</f>
        <v/>
      </c>
    </row>
    <row r="47" ht="30" customHeight="1">
      <c r="A47" s="4" t="inlineStr">
        <is>
          <t>Mombasa Bound Lane 3</t>
        </is>
      </c>
      <c r="B47" s="3">
        <f>'11-12AM'!B62</f>
        <v/>
      </c>
      <c r="C47" s="3">
        <f>'11-12AM'!C62</f>
        <v/>
      </c>
      <c r="D47" s="3">
        <f>'11-12AM'!D62</f>
        <v/>
      </c>
      <c r="E47" s="3">
        <f>'11-12AM'!E62</f>
        <v/>
      </c>
      <c r="F47" s="3">
        <f>'11-12AM'!F62</f>
        <v/>
      </c>
      <c r="G47" s="3">
        <f>'11-12AM'!G62</f>
        <v/>
      </c>
      <c r="H47" s="3">
        <f>'11-12AM'!H62</f>
        <v/>
      </c>
      <c r="I47" s="3">
        <f>'11-12AM'!I62</f>
        <v/>
      </c>
      <c r="J47" s="3">
        <f>'11-12AM'!J62</f>
        <v/>
      </c>
      <c r="K47" s="3">
        <f>'11-12AM'!K62</f>
        <v/>
      </c>
      <c r="L47" s="3">
        <f>'11-12AM'!L62</f>
        <v/>
      </c>
      <c r="M47" s="3">
        <f>'11-12AM'!M62</f>
        <v/>
      </c>
      <c r="N47" s="20">
        <f>'11-12AM'!N62</f>
        <v/>
      </c>
    </row>
    <row r="48">
      <c r="A48" s="21" t="inlineStr">
        <is>
          <t>TOTAL</t>
        </is>
      </c>
      <c r="B48" s="1">
        <f>SUM(B45:B47)</f>
        <v/>
      </c>
      <c r="C48" s="1">
        <f>SUM(C45:C47)</f>
        <v/>
      </c>
      <c r="D48" s="1">
        <f>SUM(D45:D47)</f>
        <v/>
      </c>
      <c r="E48" s="1">
        <f>SUM(E45:E47)</f>
        <v/>
      </c>
      <c r="F48" s="1">
        <f>SUM(F45:F47)</f>
        <v/>
      </c>
      <c r="G48" s="1">
        <f>SUM(G45:G47)</f>
        <v/>
      </c>
      <c r="H48" s="1">
        <f>SUM(H45:H47)</f>
        <v/>
      </c>
      <c r="I48" s="1">
        <f>SUM(I45:I47)</f>
        <v/>
      </c>
      <c r="J48" s="1">
        <f>SUM(J45:J47)</f>
        <v/>
      </c>
      <c r="K48" s="1">
        <f>SUM(K45:K47)</f>
        <v/>
      </c>
      <c r="L48" s="1">
        <f>SUM(L45:L47)</f>
        <v/>
      </c>
      <c r="M48" s="1">
        <f>SUM(M45:M47)</f>
        <v/>
      </c>
      <c r="N48" s="22">
        <f>SUM(B48:M48)</f>
        <v/>
      </c>
    </row>
    <row r="49">
      <c r="A49" s="5" t="n"/>
    </row>
    <row r="50">
      <c r="A50" s="5" t="n"/>
    </row>
    <row r="51">
      <c r="A51" s="44" t="inlineStr">
        <is>
          <t>12:00NOON-1:00PM</t>
        </is>
      </c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6" t="n"/>
      <c r="N51" s="23" t="n"/>
    </row>
    <row r="52" ht="30" customHeight="1">
      <c r="A52" s="4" t="inlineStr">
        <is>
          <t>Mombasa Bound Lane 1</t>
        </is>
      </c>
      <c r="B52" s="3">
        <f>'12-1PM'!B60</f>
        <v/>
      </c>
      <c r="C52" s="3">
        <f>'12-1PM'!C60</f>
        <v/>
      </c>
      <c r="D52" s="3">
        <f>'12-1PM'!D60</f>
        <v/>
      </c>
      <c r="E52" s="3">
        <f>'12-1PM'!E60</f>
        <v/>
      </c>
      <c r="F52" s="3">
        <f>'12-1PM'!F60</f>
        <v/>
      </c>
      <c r="G52" s="3">
        <f>'12-1PM'!G60</f>
        <v/>
      </c>
      <c r="H52" s="3">
        <f>'12-1PM'!H60</f>
        <v/>
      </c>
      <c r="I52" s="3">
        <f>'12-1PM'!I60</f>
        <v/>
      </c>
      <c r="J52" s="3">
        <f>'12-1PM'!J60</f>
        <v/>
      </c>
      <c r="K52" s="3">
        <f>'12-1PM'!K60</f>
        <v/>
      </c>
      <c r="L52" s="3">
        <f>'12-1PM'!L60</f>
        <v/>
      </c>
      <c r="M52" s="3">
        <f>'12-1PM'!M60</f>
        <v/>
      </c>
      <c r="N52" s="20">
        <f>'12-1PM'!N60</f>
        <v/>
      </c>
    </row>
    <row r="53" ht="30" customHeight="1">
      <c r="A53" s="4" t="inlineStr">
        <is>
          <t>Mombasa Bound Lane 2</t>
        </is>
      </c>
      <c r="B53" s="3">
        <f>'12-1PM'!B61</f>
        <v/>
      </c>
      <c r="C53" s="3">
        <f>'12-1PM'!C61</f>
        <v/>
      </c>
      <c r="D53" s="3">
        <f>'12-1PM'!D61</f>
        <v/>
      </c>
      <c r="E53" s="3">
        <f>'12-1PM'!E61</f>
        <v/>
      </c>
      <c r="F53" s="3">
        <f>'12-1PM'!F61</f>
        <v/>
      </c>
      <c r="G53" s="3">
        <f>'12-1PM'!G61</f>
        <v/>
      </c>
      <c r="H53" s="3">
        <f>'12-1PM'!H61</f>
        <v/>
      </c>
      <c r="I53" s="3">
        <f>'12-1PM'!I61</f>
        <v/>
      </c>
      <c r="J53" s="3">
        <f>'12-1PM'!J61</f>
        <v/>
      </c>
      <c r="K53" s="3">
        <f>'12-1PM'!K61</f>
        <v/>
      </c>
      <c r="L53" s="3">
        <f>'12-1PM'!L61</f>
        <v/>
      </c>
      <c r="M53" s="3">
        <f>'12-1PM'!M61</f>
        <v/>
      </c>
      <c r="N53" s="20">
        <f>'12-1PM'!N61</f>
        <v/>
      </c>
    </row>
    <row r="54" ht="30" customHeight="1">
      <c r="A54" s="4" t="inlineStr">
        <is>
          <t>Mombasa Bound Lane 3</t>
        </is>
      </c>
      <c r="B54" s="3">
        <f>'12-1PM'!B62</f>
        <v/>
      </c>
      <c r="C54" s="3">
        <f>'12-1PM'!C62</f>
        <v/>
      </c>
      <c r="D54" s="3">
        <f>'12-1PM'!D62</f>
        <v/>
      </c>
      <c r="E54" s="3">
        <f>'12-1PM'!E62</f>
        <v/>
      </c>
      <c r="F54" s="3">
        <f>'12-1PM'!F62</f>
        <v/>
      </c>
      <c r="G54" s="3">
        <f>'12-1PM'!G62</f>
        <v/>
      </c>
      <c r="H54" s="3">
        <f>'12-1PM'!H62</f>
        <v/>
      </c>
      <c r="I54" s="3">
        <f>'12-1PM'!I62</f>
        <v/>
      </c>
      <c r="J54" s="3">
        <f>'12-1PM'!J62</f>
        <v/>
      </c>
      <c r="K54" s="3">
        <f>'12-1PM'!K62</f>
        <v/>
      </c>
      <c r="L54" s="3">
        <f>'12-1PM'!L62</f>
        <v/>
      </c>
      <c r="M54" s="3">
        <f>'12-1PM'!M62</f>
        <v/>
      </c>
      <c r="N54" s="20">
        <f>'12-1PM'!N62</f>
        <v/>
      </c>
    </row>
    <row r="55">
      <c r="A55" s="21" t="inlineStr">
        <is>
          <t>TOTAL</t>
        </is>
      </c>
      <c r="B55" s="1">
        <f>SUM(B52:B54)</f>
        <v/>
      </c>
      <c r="C55" s="1">
        <f>SUM(C52:C54)</f>
        <v/>
      </c>
      <c r="D55" s="1">
        <f>SUM(D52:D54)</f>
        <v/>
      </c>
      <c r="E55" s="1">
        <f>SUM(E52:E54)</f>
        <v/>
      </c>
      <c r="F55" s="1">
        <f>SUM(F52:F54)</f>
        <v/>
      </c>
      <c r="G55" s="1">
        <f>SUM(G52:G54)</f>
        <v/>
      </c>
      <c r="H55" s="1">
        <f>SUM(H52:H54)</f>
        <v/>
      </c>
      <c r="I55" s="1">
        <f>SUM(I52:I54)</f>
        <v/>
      </c>
      <c r="J55" s="1">
        <f>SUM(J52:J54)</f>
        <v/>
      </c>
      <c r="K55" s="1">
        <f>SUM(K52:K54)</f>
        <v/>
      </c>
      <c r="L55" s="1">
        <f>SUM(L52:L54)</f>
        <v/>
      </c>
      <c r="M55" s="1">
        <f>SUM(M52:M54)</f>
        <v/>
      </c>
      <c r="N55" s="22">
        <f>SUM(B55:M55)</f>
        <v/>
      </c>
    </row>
    <row r="56">
      <c r="A56" s="5" t="n"/>
    </row>
    <row r="57">
      <c r="A57" s="5" t="n"/>
    </row>
    <row r="58">
      <c r="A58" s="44" t="inlineStr">
        <is>
          <t>1:00PM-2:00PM</t>
        </is>
      </c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6" t="n"/>
      <c r="N58" s="23" t="n"/>
    </row>
    <row r="59" ht="30" customHeight="1">
      <c r="A59" s="4" t="inlineStr">
        <is>
          <t>Mombasa Bound Lane 1</t>
        </is>
      </c>
      <c r="B59" s="3">
        <f>'1-2PM'!B60</f>
        <v/>
      </c>
      <c r="C59" s="3">
        <f>'1-2PM'!C60</f>
        <v/>
      </c>
      <c r="D59" s="3">
        <f>'1-2PM'!D60</f>
        <v/>
      </c>
      <c r="E59" s="3">
        <f>'1-2PM'!E60</f>
        <v/>
      </c>
      <c r="F59" s="3">
        <f>'1-2PM'!F60</f>
        <v/>
      </c>
      <c r="G59" s="3">
        <f>'1-2PM'!G60</f>
        <v/>
      </c>
      <c r="H59" s="3">
        <f>'1-2PM'!H60</f>
        <v/>
      </c>
      <c r="I59" s="3">
        <f>'1-2PM'!I60</f>
        <v/>
      </c>
      <c r="J59" s="3">
        <f>'1-2PM'!J60</f>
        <v/>
      </c>
      <c r="K59" s="3">
        <f>'1-2PM'!K60</f>
        <v/>
      </c>
      <c r="L59" s="3">
        <f>'1-2PM'!L60</f>
        <v/>
      </c>
      <c r="M59" s="3">
        <f>'1-2PM'!M60</f>
        <v/>
      </c>
      <c r="N59" s="20">
        <f>'1-2PM'!N60</f>
        <v/>
      </c>
    </row>
    <row r="60" ht="30" customHeight="1">
      <c r="A60" s="4" t="inlineStr">
        <is>
          <t>Mombasa Bound Lane 2</t>
        </is>
      </c>
      <c r="B60" s="3">
        <f>'1-2PM'!B61</f>
        <v/>
      </c>
      <c r="C60" s="3">
        <f>'1-2PM'!C61</f>
        <v/>
      </c>
      <c r="D60" s="3">
        <f>'1-2PM'!D61</f>
        <v/>
      </c>
      <c r="E60" s="3">
        <f>'1-2PM'!E61</f>
        <v/>
      </c>
      <c r="F60" s="3">
        <f>'1-2PM'!F61</f>
        <v/>
      </c>
      <c r="G60" s="3">
        <f>'1-2PM'!G61</f>
        <v/>
      </c>
      <c r="H60" s="3">
        <f>'1-2PM'!H61</f>
        <v/>
      </c>
      <c r="I60" s="3">
        <f>'1-2PM'!I61</f>
        <v/>
      </c>
      <c r="J60" s="3">
        <f>'1-2PM'!J61</f>
        <v/>
      </c>
      <c r="K60" s="3">
        <f>'1-2PM'!K61</f>
        <v/>
      </c>
      <c r="L60" s="3">
        <f>'1-2PM'!L61</f>
        <v/>
      </c>
      <c r="M60" s="3">
        <f>'1-2PM'!M61</f>
        <v/>
      </c>
      <c r="N60" s="20">
        <f>'1-2PM'!N61</f>
        <v/>
      </c>
    </row>
    <row r="61" ht="30" customHeight="1">
      <c r="A61" s="4" t="inlineStr">
        <is>
          <t>Mombasa Bound Lane 3</t>
        </is>
      </c>
      <c r="B61" s="3">
        <f>'1-2PM'!B62</f>
        <v/>
      </c>
      <c r="C61" s="3">
        <f>'1-2PM'!C62</f>
        <v/>
      </c>
      <c r="D61" s="3">
        <f>'1-2PM'!D62</f>
        <v/>
      </c>
      <c r="E61" s="3">
        <f>'1-2PM'!E62</f>
        <v/>
      </c>
      <c r="F61" s="3">
        <f>'1-2PM'!F62</f>
        <v/>
      </c>
      <c r="G61" s="3">
        <f>'1-2PM'!G62</f>
        <v/>
      </c>
      <c r="H61" s="3">
        <f>'1-2PM'!H62</f>
        <v/>
      </c>
      <c r="I61" s="3">
        <f>'1-2PM'!I62</f>
        <v/>
      </c>
      <c r="J61" s="3">
        <f>'1-2PM'!J62</f>
        <v/>
      </c>
      <c r="K61" s="3">
        <f>'1-2PM'!K62</f>
        <v/>
      </c>
      <c r="L61" s="3">
        <f>'1-2PM'!L62</f>
        <v/>
      </c>
      <c r="M61" s="3">
        <f>'1-2PM'!M62</f>
        <v/>
      </c>
      <c r="N61" s="20">
        <f>'1-2PM'!N62</f>
        <v/>
      </c>
    </row>
    <row r="62">
      <c r="A62" s="21" t="inlineStr">
        <is>
          <t>TOTAL</t>
        </is>
      </c>
      <c r="B62" s="1">
        <f>SUM(B59:B61)</f>
        <v/>
      </c>
      <c r="C62" s="1">
        <f>SUM(C59:C61)</f>
        <v/>
      </c>
      <c r="D62" s="1">
        <f>SUM(D59:D61)</f>
        <v/>
      </c>
      <c r="E62" s="1">
        <f>SUM(E59:E61)</f>
        <v/>
      </c>
      <c r="F62" s="1">
        <f>SUM(F59:F61)</f>
        <v/>
      </c>
      <c r="G62" s="1">
        <f>SUM(G59:G61)</f>
        <v/>
      </c>
      <c r="H62" s="1">
        <f>SUM(H59:H61)</f>
        <v/>
      </c>
      <c r="I62" s="1">
        <f>SUM(I59:I61)</f>
        <v/>
      </c>
      <c r="J62" s="1">
        <f>SUM(J59:J61)</f>
        <v/>
      </c>
      <c r="K62" s="1">
        <f>SUM(K59:K61)</f>
        <v/>
      </c>
      <c r="L62" s="1">
        <f>SUM(L59:L61)</f>
        <v/>
      </c>
      <c r="M62" s="1">
        <f>SUM(M59:M61)</f>
        <v/>
      </c>
      <c r="N62" s="22">
        <f>SUM(B62:M62)</f>
        <v/>
      </c>
    </row>
    <row r="63">
      <c r="A63" s="5" t="n"/>
    </row>
    <row r="64">
      <c r="A64" s="5" t="n"/>
    </row>
    <row r="65">
      <c r="A65" s="44" t="inlineStr">
        <is>
          <t>2:00PM-3:00PM</t>
        </is>
      </c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6" t="n"/>
      <c r="N65" s="23" t="n"/>
    </row>
    <row r="66" ht="30" customHeight="1">
      <c r="A66" s="4" t="inlineStr">
        <is>
          <t>Mombasa Bound Lane 1</t>
        </is>
      </c>
      <c r="B66" s="3">
        <f>'2-3PM'!B60</f>
        <v/>
      </c>
      <c r="C66" s="3">
        <f>'2-3PM'!C60</f>
        <v/>
      </c>
      <c r="D66" s="3">
        <f>'2-3PM'!D60</f>
        <v/>
      </c>
      <c r="E66" s="3">
        <f>'2-3PM'!E60</f>
        <v/>
      </c>
      <c r="F66" s="3">
        <f>'2-3PM'!F60</f>
        <v/>
      </c>
      <c r="G66" s="3">
        <f>'2-3PM'!G60</f>
        <v/>
      </c>
      <c r="H66" s="3">
        <f>'2-3PM'!H60</f>
        <v/>
      </c>
      <c r="I66" s="3">
        <f>'2-3PM'!I60</f>
        <v/>
      </c>
      <c r="J66" s="3">
        <f>'2-3PM'!J60</f>
        <v/>
      </c>
      <c r="K66" s="3">
        <f>'2-3PM'!K60</f>
        <v/>
      </c>
      <c r="L66" s="3">
        <f>'2-3PM'!L60</f>
        <v/>
      </c>
      <c r="M66" s="3">
        <f>'2-3PM'!M60</f>
        <v/>
      </c>
      <c r="N66" s="20">
        <f>'2-3PM'!N60</f>
        <v/>
      </c>
    </row>
    <row r="67" ht="30" customHeight="1">
      <c r="A67" s="4" t="inlineStr">
        <is>
          <t>Mombasa Bound Lane 2</t>
        </is>
      </c>
      <c r="B67" s="3">
        <f>'2-3PM'!B61</f>
        <v/>
      </c>
      <c r="C67" s="3">
        <f>'2-3PM'!C61</f>
        <v/>
      </c>
      <c r="D67" s="3">
        <f>'2-3PM'!D61</f>
        <v/>
      </c>
      <c r="E67" s="3">
        <f>'2-3PM'!E61</f>
        <v/>
      </c>
      <c r="F67" s="3">
        <f>'2-3PM'!F61</f>
        <v/>
      </c>
      <c r="G67" s="3">
        <f>'2-3PM'!G61</f>
        <v/>
      </c>
      <c r="H67" s="3">
        <f>'2-3PM'!H61</f>
        <v/>
      </c>
      <c r="I67" s="3">
        <f>'2-3PM'!I61</f>
        <v/>
      </c>
      <c r="J67" s="3">
        <f>'2-3PM'!J61</f>
        <v/>
      </c>
      <c r="K67" s="3">
        <f>'2-3PM'!K61</f>
        <v/>
      </c>
      <c r="L67" s="3">
        <f>'2-3PM'!L61</f>
        <v/>
      </c>
      <c r="M67" s="3">
        <f>'2-3PM'!M61</f>
        <v/>
      </c>
      <c r="N67" s="20">
        <f>'2-3PM'!N61</f>
        <v/>
      </c>
    </row>
    <row r="68" ht="30" customHeight="1">
      <c r="A68" s="4" t="inlineStr">
        <is>
          <t>Mombasa Bound Lane 3</t>
        </is>
      </c>
      <c r="B68" s="3">
        <f>'2-3PM'!B62</f>
        <v/>
      </c>
      <c r="C68" s="3">
        <f>'2-3PM'!C62</f>
        <v/>
      </c>
      <c r="D68" s="3">
        <f>'2-3PM'!D62</f>
        <v/>
      </c>
      <c r="E68" s="3">
        <f>'2-3PM'!E62</f>
        <v/>
      </c>
      <c r="F68" s="3">
        <f>'2-3PM'!F62</f>
        <v/>
      </c>
      <c r="G68" s="3">
        <f>'2-3PM'!G62</f>
        <v/>
      </c>
      <c r="H68" s="3">
        <f>'2-3PM'!H62</f>
        <v/>
      </c>
      <c r="I68" s="3">
        <f>'2-3PM'!I62</f>
        <v/>
      </c>
      <c r="J68" s="3">
        <f>'2-3PM'!J62</f>
        <v/>
      </c>
      <c r="K68" s="3">
        <f>'2-3PM'!K62</f>
        <v/>
      </c>
      <c r="L68" s="3">
        <f>'2-3PM'!L62</f>
        <v/>
      </c>
      <c r="M68" s="3">
        <f>'2-3PM'!M62</f>
        <v/>
      </c>
      <c r="N68" s="20">
        <f>'2-3PM'!N62</f>
        <v/>
      </c>
    </row>
    <row r="69">
      <c r="A69" s="21" t="inlineStr">
        <is>
          <t>TOTAL</t>
        </is>
      </c>
      <c r="B69" s="1">
        <f>SUM(B66:B68)</f>
        <v/>
      </c>
      <c r="C69" s="1">
        <f>SUM(C66:C68)</f>
        <v/>
      </c>
      <c r="D69" s="1">
        <f>SUM(D66:D68)</f>
        <v/>
      </c>
      <c r="E69" s="1">
        <f>SUM(E66:E68)</f>
        <v/>
      </c>
      <c r="F69" s="1">
        <f>SUM(F66:F68)</f>
        <v/>
      </c>
      <c r="G69" s="1">
        <f>SUM(G66:G68)</f>
        <v/>
      </c>
      <c r="H69" s="1">
        <f>SUM(H66:H68)</f>
        <v/>
      </c>
      <c r="I69" s="1">
        <f>SUM(I66:I68)</f>
        <v/>
      </c>
      <c r="J69" s="1">
        <f>SUM(J66:J68)</f>
        <v/>
      </c>
      <c r="K69" s="1">
        <f>SUM(K66:K68)</f>
        <v/>
      </c>
      <c r="L69" s="1">
        <f>SUM(L66:L68)</f>
        <v/>
      </c>
      <c r="M69" s="1">
        <f>SUM(M66:M68)</f>
        <v/>
      </c>
      <c r="N69" s="22">
        <f>SUM(B69:M69)</f>
        <v/>
      </c>
    </row>
    <row r="70">
      <c r="A70" s="5" t="n"/>
    </row>
    <row r="71">
      <c r="A71" s="5" t="n"/>
    </row>
    <row r="72">
      <c r="A72" s="44" t="inlineStr">
        <is>
          <t>3:00PM-4:00PM</t>
        </is>
      </c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6" t="n"/>
      <c r="N72" s="23" t="n"/>
    </row>
    <row r="73" ht="30" customHeight="1">
      <c r="A73" s="4" t="inlineStr">
        <is>
          <t>Mombasa Bound Lane 1</t>
        </is>
      </c>
      <c r="B73" s="3">
        <f>'3-4PM'!B60</f>
        <v/>
      </c>
      <c r="C73" s="3">
        <f>'3-4PM'!C60</f>
        <v/>
      </c>
      <c r="D73" s="3">
        <f>'3-4PM'!D60</f>
        <v/>
      </c>
      <c r="E73" s="3">
        <f>'3-4PM'!E60</f>
        <v/>
      </c>
      <c r="F73" s="3">
        <f>'3-4PM'!F60</f>
        <v/>
      </c>
      <c r="G73" s="3">
        <f>'3-4PM'!G60</f>
        <v/>
      </c>
      <c r="H73" s="3">
        <f>'3-4PM'!H60</f>
        <v/>
      </c>
      <c r="I73" s="3">
        <f>'3-4PM'!I60</f>
        <v/>
      </c>
      <c r="J73" s="3">
        <f>'3-4PM'!J60</f>
        <v/>
      </c>
      <c r="K73" s="3">
        <f>'3-4PM'!K60</f>
        <v/>
      </c>
      <c r="L73" s="3">
        <f>'3-4PM'!L60</f>
        <v/>
      </c>
      <c r="M73" s="3">
        <f>'3-4PM'!M60</f>
        <v/>
      </c>
      <c r="N73" s="20">
        <f>'3-4PM'!N60</f>
        <v/>
      </c>
    </row>
    <row r="74" ht="30" customHeight="1">
      <c r="A74" s="4" t="inlineStr">
        <is>
          <t>Mombasa Bound Lane 2</t>
        </is>
      </c>
      <c r="B74" s="3">
        <f>'3-4PM'!B61</f>
        <v/>
      </c>
      <c r="C74" s="3">
        <f>'3-4PM'!C61</f>
        <v/>
      </c>
      <c r="D74" s="3">
        <f>'3-4PM'!D61</f>
        <v/>
      </c>
      <c r="E74" s="3">
        <f>'3-4PM'!E61</f>
        <v/>
      </c>
      <c r="F74" s="3">
        <f>'3-4PM'!F61</f>
        <v/>
      </c>
      <c r="G74" s="3">
        <f>'3-4PM'!G61</f>
        <v/>
      </c>
      <c r="H74" s="3">
        <f>'3-4PM'!H61</f>
        <v/>
      </c>
      <c r="I74" s="3">
        <f>'3-4PM'!I61</f>
        <v/>
      </c>
      <c r="J74" s="3">
        <f>'3-4PM'!J61</f>
        <v/>
      </c>
      <c r="K74" s="3">
        <f>'3-4PM'!K61</f>
        <v/>
      </c>
      <c r="L74" s="3">
        <f>'3-4PM'!L61</f>
        <v/>
      </c>
      <c r="M74" s="3">
        <f>'3-4PM'!M61</f>
        <v/>
      </c>
      <c r="N74" s="20">
        <f>'3-4PM'!N61</f>
        <v/>
      </c>
    </row>
    <row r="75" ht="30" customHeight="1">
      <c r="A75" s="4" t="inlineStr">
        <is>
          <t>Mombasa Bound Lane 3</t>
        </is>
      </c>
      <c r="B75" s="3">
        <f>'3-4PM'!B62</f>
        <v/>
      </c>
      <c r="C75" s="3">
        <f>'3-4PM'!C62</f>
        <v/>
      </c>
      <c r="D75" s="3">
        <f>'3-4PM'!D62</f>
        <v/>
      </c>
      <c r="E75" s="3">
        <f>'3-4PM'!E62</f>
        <v/>
      </c>
      <c r="F75" s="3">
        <f>'3-4PM'!F62</f>
        <v/>
      </c>
      <c r="G75" s="3">
        <f>'3-4PM'!G62</f>
        <v/>
      </c>
      <c r="H75" s="3">
        <f>'3-4PM'!H62</f>
        <v/>
      </c>
      <c r="I75" s="3">
        <f>'3-4PM'!I62</f>
        <v/>
      </c>
      <c r="J75" s="3">
        <f>'3-4PM'!J62</f>
        <v/>
      </c>
      <c r="K75" s="3">
        <f>'3-4PM'!K62</f>
        <v/>
      </c>
      <c r="L75" s="3">
        <f>'3-4PM'!L62</f>
        <v/>
      </c>
      <c r="M75" s="3">
        <f>'3-4PM'!M62</f>
        <v/>
      </c>
      <c r="N75" s="20">
        <f>'3-4PM'!N62</f>
        <v/>
      </c>
    </row>
    <row r="76" ht="18.75" customHeight="1">
      <c r="A76" s="21" t="inlineStr">
        <is>
          <t>TOTAL</t>
        </is>
      </c>
      <c r="B76" s="1">
        <f>SUM(B73:B75)</f>
        <v/>
      </c>
      <c r="C76" s="1">
        <f>SUM(C73:C75)</f>
        <v/>
      </c>
      <c r="D76" s="1">
        <f>SUM(D73:D75)</f>
        <v/>
      </c>
      <c r="E76" s="1">
        <f>SUM(E73:E75)</f>
        <v/>
      </c>
      <c r="F76" s="1">
        <f>SUM(F73:F75)</f>
        <v/>
      </c>
      <c r="G76" s="1">
        <f>SUM(G73:G75)</f>
        <v/>
      </c>
      <c r="H76" s="1">
        <f>SUM(H73:H75)</f>
        <v/>
      </c>
      <c r="I76" s="1">
        <f>SUM(I73:I75)</f>
        <v/>
      </c>
      <c r="J76" s="1">
        <f>SUM(J73:J75)</f>
        <v/>
      </c>
      <c r="K76" s="1">
        <f>SUM(K73:K75)</f>
        <v/>
      </c>
      <c r="L76" s="1">
        <f>SUM(L73:L75)</f>
        <v/>
      </c>
      <c r="M76" s="1">
        <f>SUM(M73:M75)</f>
        <v/>
      </c>
      <c r="N76" s="22">
        <f>SUM(B76:M76)</f>
        <v/>
      </c>
    </row>
    <row r="77">
      <c r="A77" s="5" t="n"/>
    </row>
    <row r="78">
      <c r="A78" s="5" t="n"/>
    </row>
    <row r="79">
      <c r="A79" s="47" t="inlineStr">
        <is>
          <t>4:00PM-5:00PM</t>
        </is>
      </c>
      <c r="M79" s="48" t="n"/>
      <c r="N79" s="6" t="n"/>
    </row>
    <row r="80" ht="30" customHeight="1">
      <c r="A80" s="4" t="inlineStr">
        <is>
          <t>Mombasa Bound Lane 1</t>
        </is>
      </c>
      <c r="B80" s="3">
        <f>'4-5PM'!B60</f>
        <v/>
      </c>
      <c r="C80" s="3">
        <f>'4-5PM'!C60</f>
        <v/>
      </c>
      <c r="D80" s="3">
        <f>'4-5PM'!D60</f>
        <v/>
      </c>
      <c r="E80" s="3">
        <f>'4-5PM'!E60</f>
        <v/>
      </c>
      <c r="F80" s="3">
        <f>'4-5PM'!F60</f>
        <v/>
      </c>
      <c r="G80" s="3">
        <f>'4-5PM'!G60</f>
        <v/>
      </c>
      <c r="H80" s="3">
        <f>'4-5PM'!H60</f>
        <v/>
      </c>
      <c r="I80" s="3">
        <f>'4-5PM'!I60</f>
        <v/>
      </c>
      <c r="J80" s="3">
        <f>'4-5PM'!J60</f>
        <v/>
      </c>
      <c r="K80" s="3">
        <f>'4-5PM'!K60</f>
        <v/>
      </c>
      <c r="L80" s="3">
        <f>'4-5PM'!L60</f>
        <v/>
      </c>
      <c r="M80" s="3">
        <f>'4-5PM'!M60</f>
        <v/>
      </c>
      <c r="N80" s="20">
        <f>'4-5PM'!N60</f>
        <v/>
      </c>
    </row>
    <row r="81" ht="30" customHeight="1">
      <c r="A81" s="4" t="inlineStr">
        <is>
          <t>Mombasa Bound Lane 2</t>
        </is>
      </c>
      <c r="B81" s="3">
        <f>'4-5PM'!B61</f>
        <v/>
      </c>
      <c r="C81" s="3">
        <f>'4-5PM'!C61</f>
        <v/>
      </c>
      <c r="D81" s="3">
        <f>'4-5PM'!D61</f>
        <v/>
      </c>
      <c r="E81" s="3">
        <f>'4-5PM'!E61</f>
        <v/>
      </c>
      <c r="F81" s="3">
        <f>'4-5PM'!F61</f>
        <v/>
      </c>
      <c r="G81" s="3">
        <f>'4-5PM'!G61</f>
        <v/>
      </c>
      <c r="H81" s="3">
        <f>'4-5PM'!H61</f>
        <v/>
      </c>
      <c r="I81" s="3">
        <f>'4-5PM'!I61</f>
        <v/>
      </c>
      <c r="J81" s="3">
        <f>'4-5PM'!J61</f>
        <v/>
      </c>
      <c r="K81" s="3">
        <f>'4-5PM'!K61</f>
        <v/>
      </c>
      <c r="L81" s="3">
        <f>'4-5PM'!L61</f>
        <v/>
      </c>
      <c r="M81" s="3">
        <f>'4-5PM'!M61</f>
        <v/>
      </c>
      <c r="N81" s="20">
        <f>'4-5PM'!N61</f>
        <v/>
      </c>
    </row>
    <row r="82" ht="30" customHeight="1">
      <c r="A82" s="4" t="inlineStr">
        <is>
          <t>Mombasa Bound Lane 3</t>
        </is>
      </c>
      <c r="B82" s="3">
        <f>'4-5PM'!B62</f>
        <v/>
      </c>
      <c r="C82" s="3">
        <f>'4-5PM'!C62</f>
        <v/>
      </c>
      <c r="D82" s="3">
        <f>'4-5PM'!D62</f>
        <v/>
      </c>
      <c r="E82" s="3">
        <f>'4-5PM'!E62</f>
        <v/>
      </c>
      <c r="F82" s="3">
        <f>'4-5PM'!F62</f>
        <v/>
      </c>
      <c r="G82" s="3">
        <f>'4-5PM'!G62</f>
        <v/>
      </c>
      <c r="H82" s="3">
        <f>'4-5PM'!H62</f>
        <v/>
      </c>
      <c r="I82" s="3">
        <f>'4-5PM'!I62</f>
        <v/>
      </c>
      <c r="J82" s="3">
        <f>'4-5PM'!J62</f>
        <v/>
      </c>
      <c r="K82" s="3">
        <f>'4-5PM'!K62</f>
        <v/>
      </c>
      <c r="L82" s="3">
        <f>'4-5PM'!L62</f>
        <v/>
      </c>
      <c r="M82" s="3">
        <f>'4-5PM'!M62</f>
        <v/>
      </c>
      <c r="N82" s="20">
        <f>'4-5PM'!N62</f>
        <v/>
      </c>
    </row>
    <row r="83">
      <c r="A83" s="21" t="inlineStr">
        <is>
          <t>TOTAL</t>
        </is>
      </c>
      <c r="B83" s="1">
        <f>SUM(B80:B82)</f>
        <v/>
      </c>
      <c r="C83" s="1">
        <f>SUM(C80:C82)</f>
        <v/>
      </c>
      <c r="D83" s="1">
        <f>SUM(D80:D82)</f>
        <v/>
      </c>
      <c r="E83" s="1">
        <f>SUM(E80:E82)</f>
        <v/>
      </c>
      <c r="F83" s="1">
        <f>SUM(F80:F82)</f>
        <v/>
      </c>
      <c r="G83" s="1">
        <f>SUM(G80:G82)</f>
        <v/>
      </c>
      <c r="H83" s="1">
        <f>SUM(H80:H82)</f>
        <v/>
      </c>
      <c r="I83" s="1">
        <f>SUM(I80:I82)</f>
        <v/>
      </c>
      <c r="J83" s="1">
        <f>SUM(J80:J82)</f>
        <v/>
      </c>
      <c r="K83" s="1">
        <f>SUM(K80:K82)</f>
        <v/>
      </c>
      <c r="L83" s="1">
        <f>SUM(L80:L82)</f>
        <v/>
      </c>
      <c r="M83" s="1">
        <f>SUM(M80:M82)</f>
        <v/>
      </c>
      <c r="N83" s="22">
        <f>SUM(B83:M83)</f>
        <v/>
      </c>
    </row>
    <row r="84">
      <c r="A84" s="5" t="n"/>
    </row>
    <row r="85">
      <c r="A85" s="5" t="n"/>
    </row>
    <row r="86">
      <c r="A86" s="47" t="inlineStr">
        <is>
          <t>5:00PM-6:00PM</t>
        </is>
      </c>
      <c r="M86" s="48" t="n"/>
      <c r="N86" s="6" t="n"/>
    </row>
    <row r="87" ht="30" customHeight="1">
      <c r="A87" s="4" t="inlineStr">
        <is>
          <t>Mombasa Bound Lane 1</t>
        </is>
      </c>
      <c r="B87" s="3">
        <f>'5-6PM '!B60</f>
        <v/>
      </c>
      <c r="C87" s="3">
        <f>'5-6PM '!C60</f>
        <v/>
      </c>
      <c r="D87" s="3">
        <f>'5-6PM '!D60</f>
        <v/>
      </c>
      <c r="E87" s="3">
        <f>'5-6PM '!E60</f>
        <v/>
      </c>
      <c r="F87" s="3">
        <f>'5-6PM '!F60</f>
        <v/>
      </c>
      <c r="G87" s="3">
        <f>'5-6PM '!G60</f>
        <v/>
      </c>
      <c r="H87" s="3">
        <f>'5-6PM '!H60</f>
        <v/>
      </c>
      <c r="I87" s="3">
        <f>'5-6PM '!I60</f>
        <v/>
      </c>
      <c r="J87" s="3">
        <f>'5-6PM '!J60</f>
        <v/>
      </c>
      <c r="K87" s="3">
        <f>'5-6PM '!K60</f>
        <v/>
      </c>
      <c r="L87" s="3">
        <f>'5-6PM '!L60</f>
        <v/>
      </c>
      <c r="M87" s="3">
        <f>'5-6PM '!M60</f>
        <v/>
      </c>
      <c r="N87" s="20">
        <f>'5-6PM '!N60</f>
        <v/>
      </c>
    </row>
    <row r="88" ht="30" customHeight="1">
      <c r="A88" s="4" t="inlineStr">
        <is>
          <t>Mombasa Bound Lane 2</t>
        </is>
      </c>
      <c r="B88" s="3">
        <f>'5-6PM '!B61</f>
        <v/>
      </c>
      <c r="C88" s="3">
        <f>'5-6PM '!C61</f>
        <v/>
      </c>
      <c r="D88" s="3">
        <f>'5-6PM '!D61</f>
        <v/>
      </c>
      <c r="E88" s="3">
        <f>'5-6PM '!E61</f>
        <v/>
      </c>
      <c r="F88" s="3">
        <f>'5-6PM '!F61</f>
        <v/>
      </c>
      <c r="G88" s="3">
        <f>'5-6PM '!G61</f>
        <v/>
      </c>
      <c r="H88" s="3">
        <f>'5-6PM '!H61</f>
        <v/>
      </c>
      <c r="I88" s="3">
        <f>'5-6PM '!I61</f>
        <v/>
      </c>
      <c r="J88" s="3">
        <f>'5-6PM '!J61</f>
        <v/>
      </c>
      <c r="K88" s="3">
        <f>'5-6PM '!K61</f>
        <v/>
      </c>
      <c r="L88" s="3">
        <f>'5-6PM '!L61</f>
        <v/>
      </c>
      <c r="M88" s="3">
        <f>'5-6PM '!M61</f>
        <v/>
      </c>
      <c r="N88" s="20">
        <f>'5-6PM '!N61</f>
        <v/>
      </c>
    </row>
    <row r="89" ht="30" customHeight="1">
      <c r="A89" s="4" t="inlineStr">
        <is>
          <t>Mombasa Bound Lane 3</t>
        </is>
      </c>
      <c r="B89" s="3">
        <f>'5-6PM '!B62</f>
        <v/>
      </c>
      <c r="C89" s="3">
        <f>'5-6PM '!C62</f>
        <v/>
      </c>
      <c r="D89" s="3">
        <f>'5-6PM '!D62</f>
        <v/>
      </c>
      <c r="E89" s="3">
        <f>'5-6PM '!E62</f>
        <v/>
      </c>
      <c r="F89" s="3">
        <f>'5-6PM '!F62</f>
        <v/>
      </c>
      <c r="G89" s="3">
        <f>'5-6PM '!G62</f>
        <v/>
      </c>
      <c r="H89" s="3">
        <f>'5-6PM '!H62</f>
        <v/>
      </c>
      <c r="I89" s="3">
        <f>'5-6PM '!I62</f>
        <v/>
      </c>
      <c r="J89" s="3">
        <f>'5-6PM '!J62</f>
        <v/>
      </c>
      <c r="K89" s="3">
        <f>'5-6PM '!K62</f>
        <v/>
      </c>
      <c r="L89" s="3">
        <f>'5-6PM '!L62</f>
        <v/>
      </c>
      <c r="M89" s="3">
        <f>'5-6PM '!M62</f>
        <v/>
      </c>
      <c r="N89" s="20">
        <f>'5-6PM '!N62</f>
        <v/>
      </c>
    </row>
    <row r="90">
      <c r="A90" s="21" t="inlineStr">
        <is>
          <t>TOTAL</t>
        </is>
      </c>
      <c r="B90" s="1">
        <f>SUM(B87:B89)</f>
        <v/>
      </c>
      <c r="C90" s="1">
        <f>SUM(C87:C89)</f>
        <v/>
      </c>
      <c r="D90" s="1">
        <f>SUM(D87:D89)</f>
        <v/>
      </c>
      <c r="E90" s="1">
        <f>SUM(E87:E89)</f>
        <v/>
      </c>
      <c r="F90" s="1">
        <f>SUM(F87:F89)</f>
        <v/>
      </c>
      <c r="G90" s="1">
        <f>SUM(G87:G89)</f>
        <v/>
      </c>
      <c r="H90" s="1">
        <f>SUM(H87:H89)</f>
        <v/>
      </c>
      <c r="I90" s="1">
        <f>SUM(I87:I89)</f>
        <v/>
      </c>
      <c r="J90" s="1">
        <f>SUM(J87:J89)</f>
        <v/>
      </c>
      <c r="K90" s="1">
        <f>SUM(K87:K89)</f>
        <v/>
      </c>
      <c r="L90" s="1">
        <f>SUM(L87:L89)</f>
        <v/>
      </c>
      <c r="M90" s="1">
        <f>SUM(M87:M89)</f>
        <v/>
      </c>
      <c r="N90" s="22">
        <f>SUM(B90:M90)</f>
        <v/>
      </c>
    </row>
    <row r="91">
      <c r="A91" s="5" t="n"/>
    </row>
    <row r="92">
      <c r="A92" s="5" t="n"/>
    </row>
    <row r="93">
      <c r="A93" s="47" t="inlineStr">
        <is>
          <t>6:00PM-7:00PM</t>
        </is>
      </c>
      <c r="M93" s="48" t="n"/>
      <c r="N93" s="6" t="n"/>
    </row>
    <row r="94" ht="30" customHeight="1">
      <c r="A94" s="4" t="inlineStr">
        <is>
          <t>Mombasa Bound Lane 1</t>
        </is>
      </c>
      <c r="B94" s="3">
        <f>'6-7PM'!B60</f>
        <v/>
      </c>
      <c r="C94" s="3">
        <f>'6-7PM'!C60</f>
        <v/>
      </c>
      <c r="D94" s="3">
        <f>'6-7PM'!D60</f>
        <v/>
      </c>
      <c r="E94" s="3">
        <f>'6-7PM'!E60</f>
        <v/>
      </c>
      <c r="F94" s="3">
        <f>'6-7PM'!F60</f>
        <v/>
      </c>
      <c r="G94" s="3">
        <f>'6-7PM'!G60</f>
        <v/>
      </c>
      <c r="H94" s="3">
        <f>'6-7PM'!H60</f>
        <v/>
      </c>
      <c r="I94" s="3">
        <f>'6-7PM'!I60</f>
        <v/>
      </c>
      <c r="J94" s="3">
        <f>'6-7PM'!J60</f>
        <v/>
      </c>
      <c r="K94" s="3">
        <f>'6-7PM'!K60</f>
        <v/>
      </c>
      <c r="L94" s="3">
        <f>'6-7PM'!L60</f>
        <v/>
      </c>
      <c r="M94" s="3">
        <f>'6-7PM'!M60</f>
        <v/>
      </c>
      <c r="N94" s="20">
        <f>'6-7PM'!N60</f>
        <v/>
      </c>
    </row>
    <row r="95" ht="30" customHeight="1">
      <c r="A95" s="4" t="inlineStr">
        <is>
          <t>Mombasa Bound Lane 2</t>
        </is>
      </c>
      <c r="B95" s="3">
        <f>'6-7PM'!B61</f>
        <v/>
      </c>
      <c r="C95" s="3">
        <f>'6-7PM'!C61</f>
        <v/>
      </c>
      <c r="D95" s="3">
        <f>'6-7PM'!D61</f>
        <v/>
      </c>
      <c r="E95" s="3">
        <f>'6-7PM'!E61</f>
        <v/>
      </c>
      <c r="F95" s="3">
        <f>'6-7PM'!F61</f>
        <v/>
      </c>
      <c r="G95" s="3">
        <f>'6-7PM'!G61</f>
        <v/>
      </c>
      <c r="H95" s="3">
        <f>'6-7PM'!H61</f>
        <v/>
      </c>
      <c r="I95" s="3">
        <f>'6-7PM'!I61</f>
        <v/>
      </c>
      <c r="J95" s="3">
        <f>'6-7PM'!J61</f>
        <v/>
      </c>
      <c r="K95" s="3">
        <f>'6-7PM'!K61</f>
        <v/>
      </c>
      <c r="L95" s="3">
        <f>'6-7PM'!L61</f>
        <v/>
      </c>
      <c r="M95" s="3">
        <f>'6-7PM'!M61</f>
        <v/>
      </c>
      <c r="N95" s="20">
        <f>'6-7PM'!N61</f>
        <v/>
      </c>
    </row>
    <row r="96" ht="30" customHeight="1">
      <c r="A96" s="4" t="inlineStr">
        <is>
          <t>Mombasa Bound Lane 3</t>
        </is>
      </c>
      <c r="B96" s="3">
        <f>'6-7PM'!B62</f>
        <v/>
      </c>
      <c r="C96" s="3">
        <f>'6-7PM'!C62</f>
        <v/>
      </c>
      <c r="D96" s="3">
        <f>'6-7PM'!D62</f>
        <v/>
      </c>
      <c r="E96" s="3">
        <f>'6-7PM'!E62</f>
        <v/>
      </c>
      <c r="F96" s="3">
        <f>'6-7PM'!F62</f>
        <v/>
      </c>
      <c r="G96" s="3">
        <f>'6-7PM'!G62</f>
        <v/>
      </c>
      <c r="H96" s="3">
        <f>'6-7PM'!H62</f>
        <v/>
      </c>
      <c r="I96" s="3">
        <f>'6-7PM'!I62</f>
        <v/>
      </c>
      <c r="J96" s="3">
        <f>'6-7PM'!J62</f>
        <v/>
      </c>
      <c r="K96" s="3">
        <f>'6-7PM'!K62</f>
        <v/>
      </c>
      <c r="L96" s="3">
        <f>'6-7PM'!L62</f>
        <v/>
      </c>
      <c r="M96" s="3">
        <f>'6-7PM'!M62</f>
        <v/>
      </c>
      <c r="N96" s="20">
        <f>'6-7PM'!N62</f>
        <v/>
      </c>
    </row>
    <row r="97">
      <c r="A97" s="21" t="inlineStr">
        <is>
          <t>TOTAL</t>
        </is>
      </c>
      <c r="B97" s="1">
        <f>SUM(B94:B96)</f>
        <v/>
      </c>
      <c r="C97" s="1">
        <f>SUM(C94:C96)</f>
        <v/>
      </c>
      <c r="D97" s="1">
        <f>SUM(D94:D96)</f>
        <v/>
      </c>
      <c r="E97" s="1">
        <f>SUM(E94:E96)</f>
        <v/>
      </c>
      <c r="F97" s="1">
        <f>SUM(F94:F96)</f>
        <v/>
      </c>
      <c r="G97" s="1">
        <f>SUM(G94:G96)</f>
        <v/>
      </c>
      <c r="H97" s="1">
        <f>SUM(H94:H96)</f>
        <v/>
      </c>
      <c r="I97" s="1">
        <f>SUM(I94:I96)</f>
        <v/>
      </c>
      <c r="J97" s="1">
        <f>SUM(J94:J96)</f>
        <v/>
      </c>
      <c r="K97" s="1">
        <f>SUM(K94:K96)</f>
        <v/>
      </c>
      <c r="L97" s="1">
        <f>SUM(L94:L96)</f>
        <v/>
      </c>
      <c r="M97" s="1">
        <f>SUM(M94:M96)</f>
        <v/>
      </c>
      <c r="N97" s="22">
        <f>SUM(B97:M97)</f>
        <v/>
      </c>
    </row>
    <row r="98">
      <c r="A98" s="24" t="n"/>
    </row>
    <row r="99">
      <c r="A99" s="43" t="inlineStr">
        <is>
          <t>TOTALS FOR THE DAY</t>
        </is>
      </c>
    </row>
    <row r="100">
      <c r="A100" s="5" t="n"/>
    </row>
    <row r="101">
      <c r="A101" s="5" t="n"/>
    </row>
    <row r="102" ht="75" customHeight="1">
      <c r="A102" s="1" t="inlineStr">
        <is>
          <t>TIME</t>
        </is>
      </c>
      <c r="B102" s="2" t="inlineStr">
        <is>
          <t>Motorcycle/Tuktuk</t>
        </is>
      </c>
      <c r="C102" s="2" t="inlineStr">
        <is>
          <t>Cars(&lt;=5seats)</t>
        </is>
      </c>
      <c r="D102" s="2" t="inlineStr">
        <is>
          <t>Large Cars,4WD,SUVs</t>
        </is>
      </c>
      <c r="E102" s="2" t="inlineStr">
        <is>
          <t>Pickups/Vans</t>
        </is>
      </c>
      <c r="F102" s="2" t="inlineStr">
        <is>
          <t>Minibus/Matatus(&lt;=14seat</t>
        </is>
      </c>
      <c r="G102" s="2" t="inlineStr">
        <is>
          <t>Small bus(14-33seat)</t>
        </is>
      </c>
      <c r="H102" s="2" t="inlineStr">
        <is>
          <t>Large bus(&gt;33seat)</t>
        </is>
      </c>
      <c r="I102" s="2" t="inlineStr">
        <is>
          <t>Light Trucks(2axles)</t>
        </is>
      </c>
      <c r="J102" s="2" t="inlineStr">
        <is>
          <t>Medium Trucks(2axle,Double rear wheel)</t>
        </is>
      </c>
      <c r="K102" s="2" t="inlineStr">
        <is>
          <t>Heavy Trucks(3, 4 axles)</t>
        </is>
      </c>
      <c r="L102" s="2" t="inlineStr">
        <is>
          <t>Artics/draw-bar trucks</t>
        </is>
      </c>
      <c r="M102" s="2" t="inlineStr">
        <is>
          <t>Others (e.g tractors)</t>
        </is>
      </c>
      <c r="N102" s="7" t="inlineStr">
        <is>
          <t>TOTALS</t>
        </is>
      </c>
    </row>
    <row r="103">
      <c r="A103" s="44" t="inlineStr">
        <is>
          <t>DAILY TOTALS</t>
        </is>
      </c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6" t="n"/>
      <c r="N103" s="8" t="n"/>
    </row>
    <row r="104" ht="30" customHeight="1">
      <c r="A104" s="4" t="inlineStr">
        <is>
          <t>Mombasa Bound Lane 1</t>
        </is>
      </c>
      <c r="B104" s="3">
        <f>(B16+B24+B31+B38+B45+B52+B59+B66+B73+B80+B87+B94)</f>
        <v/>
      </c>
      <c r="C104" s="3">
        <f>(C16+C24+C31+C38+C45+C52+C59+C66+C73+C80+C87+C94)</f>
        <v/>
      </c>
      <c r="D104" s="3">
        <f>(D16+D24+D31+D38+D45+D52+D59+D66+D73+D80+D87+D94)</f>
        <v/>
      </c>
      <c r="E104" s="3">
        <f>(E16+E24+E31+E38+E45+E52+E59+E66+E73+E80+E87+E94)</f>
        <v/>
      </c>
      <c r="F104" s="3">
        <f>(F16+F24+F31+F38+F45+F52+F59+F66+F73+F80+F87+F94)</f>
        <v/>
      </c>
      <c r="G104" s="3">
        <f>(G16+G24+G31+G38+G45+G52+G59+G66+G73+G80+G87+G94)</f>
        <v/>
      </c>
      <c r="H104" s="3">
        <f>(H16+H24+H31+H38+H45+H52+H59+H66+H73+H80+H87+H94)</f>
        <v/>
      </c>
      <c r="I104" s="3">
        <f>(I16+I24+I31+I38+I45+I52+I59+I66+I73+I80+I87+I94)</f>
        <v/>
      </c>
      <c r="J104" s="3">
        <f>(J16+J24+J31+J38+J45+J52+J59+J66+J73+J80+J87+J94)</f>
        <v/>
      </c>
      <c r="K104" s="3">
        <f>(K16+K24+K31+K38+K45+K52+K59+K66+K73+K80+K87+K94)</f>
        <v/>
      </c>
      <c r="L104" s="3">
        <f>(L16+L24+L31+L38+L45+L52+L59+L66+L73+L80+L87+L94)</f>
        <v/>
      </c>
      <c r="M104" s="3">
        <f>(M16+M24+M31+M38+M45+M52+M59+M66+M73+M80+M87+M94)</f>
        <v/>
      </c>
      <c r="N104" s="20">
        <f>SUM(B104:M104)</f>
        <v/>
      </c>
    </row>
    <row r="105" ht="30" customHeight="1">
      <c r="A105" s="4" t="inlineStr">
        <is>
          <t>Mombasa Bound Lane 2</t>
        </is>
      </c>
      <c r="B105" s="3">
        <f>(B17+B25+B32+B39+B46+B53+B60+B67+B74+B81+B88+B95)</f>
        <v/>
      </c>
      <c r="C105" s="3">
        <f>(C17+C25+C32+C39+C46+C53+C60+C67+C74+C81+C88+C95)</f>
        <v/>
      </c>
      <c r="D105" s="3">
        <f>(D17+D25+D32+D39+D46+D53+D60+D67+D74+D81+D88+D95)</f>
        <v/>
      </c>
      <c r="E105" s="3">
        <f>(E17+E25+E32+E39+E46+E53+E60+E67+E74+E81+E88+E95)</f>
        <v/>
      </c>
      <c r="F105" s="3">
        <f>(F17+F25+F32+F39+F46+F53+F60+F67+F74+F81+F88+F95)</f>
        <v/>
      </c>
      <c r="G105" s="3">
        <f>(G17+G25+G32+G39+G46+G53+G60+G67+G74+G81+G88+G95)</f>
        <v/>
      </c>
      <c r="H105" s="3">
        <f>(H17+H25+H32+H39+H46+H53+H60+H67+H74+H81+H88+H95)</f>
        <v/>
      </c>
      <c r="I105" s="3">
        <f>(I17+I25+I32+I39+I46+I53+I60+I67+I74+I81+I88+I95)</f>
        <v/>
      </c>
      <c r="J105" s="3">
        <f>(J17+J25+J32+J39+J46+J53+J60+J67+J74+J81+J88+J95)</f>
        <v/>
      </c>
      <c r="K105" s="3">
        <f>(K17+K25+K32+K39+K46+K53+K60+K67+K74+K81+K88+K95)</f>
        <v/>
      </c>
      <c r="L105" s="3">
        <f>(L17+L25+L32+L39+L46+L53+L60+L67+L74+L81+L88+L95)</f>
        <v/>
      </c>
      <c r="M105" s="3">
        <f>(M17+M25+M32+M39+M46+M53+M60+M67+M74+M81+M88+M95)</f>
        <v/>
      </c>
      <c r="N105" s="20">
        <f>SUM(B105:M105)</f>
        <v/>
      </c>
    </row>
    <row r="106" ht="30" customHeight="1">
      <c r="A106" s="4" t="inlineStr">
        <is>
          <t>Mombasa Bound Lane 3</t>
        </is>
      </c>
      <c r="B106" s="3">
        <f>(B18+B26+B33+B40+B47+B54+B61+B68+B75+B82+B89+B96)</f>
        <v/>
      </c>
      <c r="C106" s="3">
        <f>(C18+C26+C33+C40+C47+C54+C61+C68+C75+C82+C89+C96)</f>
        <v/>
      </c>
      <c r="D106" s="3">
        <f>(D18+D26+D33+D40+D47+D54+D61+D68+D75+D82+D89+D96)</f>
        <v/>
      </c>
      <c r="E106" s="3">
        <f>(E18+E26+E33+E40+E47+E54+E61+E68+E75+E82+E89+E96)</f>
        <v/>
      </c>
      <c r="F106" s="3">
        <f>(F18+F26+F33+F40+F47+F54+F61+F68+F75+F82+F89+F96)</f>
        <v/>
      </c>
      <c r="G106" s="3">
        <f>(G18+G26+G33+G40+G47+G54+G61+G68+G75+G82+G89+G96)</f>
        <v/>
      </c>
      <c r="H106" s="3">
        <f>(H18+H26+H33+H40+H47+H54+H61+H68+H75+H82+H89+H96)</f>
        <v/>
      </c>
      <c r="I106" s="3">
        <f>(I18+I26+I33+I40+I47+I54+I61+I68+I75+I82+I89+I96)</f>
        <v/>
      </c>
      <c r="J106" s="3">
        <f>(J18+J26+J33+J40+J47+J54+J61+J68+J75+J82+J89+J96)</f>
        <v/>
      </c>
      <c r="K106" s="3">
        <f>(K18+K26+K33+K40+K47+K54+K61+K68+K75+K82+K89+K96)</f>
        <v/>
      </c>
      <c r="L106" s="3">
        <f>(L18+L26+L33+L40+L47+L54+L61+L68+L75+L82+L89+L96)</f>
        <v/>
      </c>
      <c r="M106" s="3">
        <f>(M18+M26+M33+M40+M47+M54+M61+M68+M75+M82+M89+M96)</f>
        <v/>
      </c>
      <c r="N106" s="20">
        <f>SUM(B106:M106)</f>
        <v/>
      </c>
    </row>
    <row r="107" ht="27" customHeight="1">
      <c r="A107" s="25" t="inlineStr">
        <is>
          <t>VEHICLES</t>
        </is>
      </c>
      <c r="B107" s="26">
        <f>SUM(B104:B106)</f>
        <v/>
      </c>
      <c r="C107" s="26">
        <f>SUM(C104:C106)</f>
        <v/>
      </c>
      <c r="D107" s="26">
        <f>SUM(D104:D106)</f>
        <v/>
      </c>
      <c r="E107" s="26">
        <f>SUM(E104:E106)</f>
        <v/>
      </c>
      <c r="F107" s="26">
        <f>SUM(F104:F106)</f>
        <v/>
      </c>
      <c r="G107" s="26">
        <f>SUM(G104:G106)</f>
        <v/>
      </c>
      <c r="H107" s="26">
        <f>SUM(H104:H106)</f>
        <v/>
      </c>
      <c r="I107" s="26">
        <f>SUM(I104:I106)</f>
        <v/>
      </c>
      <c r="J107" s="26">
        <f>SUM(J104:J106)</f>
        <v/>
      </c>
      <c r="K107" s="26">
        <f>SUM(K104:K106)</f>
        <v/>
      </c>
      <c r="L107" s="26">
        <f>SUM(L104:L106)</f>
        <v/>
      </c>
      <c r="M107" s="26">
        <f>SUM(M104:M106)</f>
        <v/>
      </c>
      <c r="N107" s="26">
        <f>SUM(B107:M107)</f>
        <v/>
      </c>
    </row>
    <row r="108" ht="30" customHeight="1">
      <c r="A108" s="16" t="inlineStr">
        <is>
          <t>Conversion Factor</t>
        </is>
      </c>
      <c r="B108" s="17" t="n">
        <v>0.5</v>
      </c>
      <c r="C108" s="17" t="n">
        <v>1</v>
      </c>
      <c r="D108" s="17" t="n">
        <v>1</v>
      </c>
      <c r="E108" s="17" t="n">
        <v>1.75</v>
      </c>
      <c r="F108" s="17" t="n">
        <v>1.75</v>
      </c>
      <c r="G108" s="17" t="n">
        <v>2</v>
      </c>
      <c r="H108" s="17" t="n">
        <v>2.5</v>
      </c>
      <c r="I108" s="17" t="n">
        <v>1.25</v>
      </c>
      <c r="J108" s="17" t="n">
        <v>1.5</v>
      </c>
      <c r="K108" s="17" t="n">
        <v>2.75</v>
      </c>
      <c r="L108" s="17" t="n">
        <v>3</v>
      </c>
      <c r="M108" s="17" t="n">
        <v>2</v>
      </c>
      <c r="N108" s="8" t="n"/>
    </row>
    <row r="109" ht="47.25" customHeight="1">
      <c r="A109" s="9" t="inlineStr">
        <is>
          <t>PCUs, Passenger Car Units</t>
        </is>
      </c>
      <c r="B109" s="18">
        <f>B107*B108</f>
        <v/>
      </c>
      <c r="C109" s="18">
        <f>C107*C108</f>
        <v/>
      </c>
      <c r="D109" s="18">
        <f>D107*D108</f>
        <v/>
      </c>
      <c r="E109" s="18">
        <f>E107*E108</f>
        <v/>
      </c>
      <c r="F109" s="18">
        <f>F107*F108</f>
        <v/>
      </c>
      <c r="G109" s="18">
        <f>G107*G108</f>
        <v/>
      </c>
      <c r="H109" s="18">
        <f>H107*H108</f>
        <v/>
      </c>
      <c r="I109" s="18">
        <f>I107*I108</f>
        <v/>
      </c>
      <c r="J109" s="18">
        <f>J107*J108</f>
        <v/>
      </c>
      <c r="K109" s="18">
        <f>K107*K108</f>
        <v/>
      </c>
      <c r="L109" s="18">
        <f>L107*L108</f>
        <v/>
      </c>
      <c r="M109" s="18">
        <f>M107*M108</f>
        <v/>
      </c>
      <c r="N109" s="19">
        <f>SUM(B109:M109)</f>
        <v/>
      </c>
    </row>
    <row r="110">
      <c r="A110" s="5" t="n"/>
    </row>
    <row r="111">
      <c r="A111" s="5" t="n"/>
    </row>
    <row r="112">
      <c r="A112" t="inlineStr">
        <is>
          <t>PHFs</t>
        </is>
      </c>
    </row>
    <row r="113">
      <c r="A113" t="inlineStr">
        <is>
          <t>7-8AM</t>
        </is>
      </c>
      <c r="B113">
        <f>'7-8AM'!N67</f>
        <v/>
      </c>
    </row>
    <row r="114">
      <c r="A114" t="inlineStr">
        <is>
          <t>8-9AM</t>
        </is>
      </c>
      <c r="B114">
        <f>'8-9 AM'!N67</f>
        <v/>
      </c>
    </row>
    <row r="115">
      <c r="A115" t="inlineStr">
        <is>
          <t>5-6PM</t>
        </is>
      </c>
      <c r="B115">
        <f>'5-6PM '!N67</f>
        <v/>
      </c>
    </row>
    <row r="116">
      <c r="A116" t="inlineStr">
        <is>
          <t>6-7PM</t>
        </is>
      </c>
      <c r="B116">
        <f>'6-7PM'!N67</f>
        <v/>
      </c>
    </row>
    <row r="124" ht="34.5" customHeight="1">
      <c r="A124" s="15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</row>
    <row r="125">
      <c r="A125" s="15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</row>
    <row r="126">
      <c r="A126" s="15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</row>
  </sheetData>
  <mergeCells count="22">
    <mergeCell ref="A9:N9"/>
    <mergeCell ref="A22:M22"/>
    <mergeCell ref="A72:M72"/>
    <mergeCell ref="A1:N1"/>
    <mergeCell ref="A44:M44"/>
    <mergeCell ref="A6:N6"/>
    <mergeCell ref="A93:M93"/>
    <mergeCell ref="A58:M58"/>
    <mergeCell ref="A7:N7"/>
    <mergeCell ref="A30:M30"/>
    <mergeCell ref="A15:M15"/>
    <mergeCell ref="A99:N99"/>
    <mergeCell ref="A51:M51"/>
    <mergeCell ref="A3:N3"/>
    <mergeCell ref="A103:M103"/>
    <mergeCell ref="A12:N12"/>
    <mergeCell ref="A79:M79"/>
    <mergeCell ref="A5:N5"/>
    <mergeCell ref="A65:M65"/>
    <mergeCell ref="A37:M37"/>
    <mergeCell ref="A86:M86"/>
    <mergeCell ref="A10:N10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Ogolla</dc:creator>
  <dcterms:created xsi:type="dcterms:W3CDTF">2020-07-23T02:39:54Z</dcterms:created>
  <dcterms:modified xsi:type="dcterms:W3CDTF">2026-05-25T07:12:07Z</dcterms:modified>
  <cp:lastModifiedBy>Eric Muiruri</cp:lastModifiedBy>
</cp:coreProperties>
</file>