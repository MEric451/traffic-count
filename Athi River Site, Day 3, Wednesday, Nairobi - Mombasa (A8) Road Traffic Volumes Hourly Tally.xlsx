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Crystal Rivers' Mall Site Counts\"/>
    </mc:Choice>
  </mc:AlternateContent>
  <xr:revisionPtr revIDLastSave="0" documentId="13_ncr:1_{E707B485-A9CB-4277-A926-27030AFCFC14}" xr6:coauthVersionLast="47" xr6:coauthVersionMax="47" xr10:uidLastSave="{00000000-0000-0000-0000-000000000000}"/>
  <bookViews>
    <workbookView xWindow="-28920" yWindow="-2595" windowWidth="29040" windowHeight="15990" tabRatio="759" activeTab="12" xr2:uid="{00000000-000D-0000-FFFF-FFFF00000000}"/>
  </bookViews>
  <sheets>
    <sheet name="7-8AM" sheetId="4" r:id="rId1"/>
    <sheet name="8-9 AM" sheetId="33" r:id="rId2"/>
    <sheet name="9-10AM" sheetId="34" r:id="rId3"/>
    <sheet name="10-11AM" sheetId="35" r:id="rId4"/>
    <sheet name="11-12AM" sheetId="36" r:id="rId5"/>
    <sheet name="12-1PM" sheetId="37" r:id="rId6"/>
    <sheet name="1-2PM" sheetId="38" r:id="rId7"/>
    <sheet name="2-3PM" sheetId="39" r:id="rId8"/>
    <sheet name="3-4PM" sheetId="40" r:id="rId9"/>
    <sheet name="4-5PM" sheetId="41" r:id="rId10"/>
    <sheet name="5-6PM " sheetId="42" r:id="rId11"/>
    <sheet name="6-7PM" sheetId="43" r:id="rId12"/>
    <sheet name="DAY" sheetId="18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8" l="1"/>
  <c r="A3" i="43"/>
  <c r="A3" i="42"/>
  <c r="A3" i="41"/>
  <c r="A3" i="40"/>
  <c r="A3" i="39"/>
  <c r="A3" i="38"/>
  <c r="A3" i="37"/>
  <c r="A3" i="36"/>
  <c r="A3" i="35"/>
  <c r="A3" i="34"/>
  <c r="A3" i="33"/>
  <c r="A6" i="18"/>
  <c r="A7" i="18"/>
  <c r="A5" i="18"/>
  <c r="A6" i="43"/>
  <c r="A7" i="43"/>
  <c r="A5" i="43"/>
  <c r="A6" i="42"/>
  <c r="A7" i="42"/>
  <c r="A5" i="42"/>
  <c r="A6" i="41"/>
  <c r="A7" i="41"/>
  <c r="A5" i="41"/>
  <c r="A6" i="40"/>
  <c r="A7" i="40"/>
  <c r="A5" i="40"/>
  <c r="A6" i="39"/>
  <c r="A7" i="39"/>
  <c r="A5" i="39"/>
  <c r="A6" i="38"/>
  <c r="A7" i="38"/>
  <c r="A5" i="38"/>
  <c r="A6" i="37"/>
  <c r="A7" i="37"/>
  <c r="A5" i="37"/>
  <c r="A6" i="36"/>
  <c r="A7" i="36"/>
  <c r="A5" i="36"/>
  <c r="A6" i="35"/>
  <c r="A7" i="35"/>
  <c r="A5" i="35"/>
  <c r="A6" i="34"/>
  <c r="A7" i="34"/>
  <c r="A5" i="34"/>
  <c r="A6" i="33"/>
  <c r="A7" i="33"/>
  <c r="A5" i="33"/>
  <c r="B116" i="18"/>
  <c r="B115" i="18"/>
  <c r="B114" i="18"/>
  <c r="B113" i="18"/>
  <c r="N67" i="4"/>
  <c r="N67" i="43"/>
  <c r="N67" i="42"/>
  <c r="N67" i="33"/>
  <c r="N26" i="18" l="1"/>
  <c r="N25" i="18"/>
  <c r="N24" i="18"/>
  <c r="D17" i="40"/>
  <c r="D19" i="40" s="1"/>
  <c r="B17" i="38"/>
  <c r="C17" i="38"/>
  <c r="D17" i="38"/>
  <c r="D19" i="38" s="1"/>
  <c r="E17" i="38"/>
  <c r="E19" i="38" s="1"/>
  <c r="F17" i="38"/>
  <c r="G17" i="38"/>
  <c r="H17" i="38"/>
  <c r="I17" i="38"/>
  <c r="I19" i="38" s="1"/>
  <c r="J17" i="38"/>
  <c r="K17" i="38"/>
  <c r="L17" i="38"/>
  <c r="L19" i="38" s="1"/>
  <c r="M17" i="38"/>
  <c r="M19" i="38" s="1"/>
  <c r="M17" i="4"/>
  <c r="M19" i="4" s="1"/>
  <c r="L17" i="4"/>
  <c r="L19" i="4" s="1"/>
  <c r="K17" i="4"/>
  <c r="K19" i="4" s="1"/>
  <c r="J17" i="4"/>
  <c r="J19" i="4" s="1"/>
  <c r="I17" i="4"/>
  <c r="I19" i="4" s="1"/>
  <c r="H17" i="4"/>
  <c r="H19" i="4" s="1"/>
  <c r="G17" i="4"/>
  <c r="G19" i="4" s="1"/>
  <c r="F17" i="4"/>
  <c r="F19" i="4" s="1"/>
  <c r="E17" i="4"/>
  <c r="E19" i="4" s="1"/>
  <c r="D17" i="4"/>
  <c r="D19" i="4" s="1"/>
  <c r="C17" i="4"/>
  <c r="C19" i="4" s="1"/>
  <c r="B17" i="4"/>
  <c r="B19" i="4" s="1"/>
  <c r="B17" i="33"/>
  <c r="C17" i="33"/>
  <c r="D17" i="33"/>
  <c r="D19" i="33" s="1"/>
  <c r="E17" i="33"/>
  <c r="E19" i="33" s="1"/>
  <c r="F17" i="33"/>
  <c r="G17" i="33"/>
  <c r="H17" i="33"/>
  <c r="H19" i="33" s="1"/>
  <c r="I17" i="33"/>
  <c r="I19" i="33" s="1"/>
  <c r="J17" i="33"/>
  <c r="K17" i="33"/>
  <c r="K19" i="33" s="1"/>
  <c r="L17" i="33"/>
  <c r="L19" i="33" s="1"/>
  <c r="M17" i="33"/>
  <c r="M19" i="33" s="1"/>
  <c r="J28" i="4"/>
  <c r="J30" i="4" s="1"/>
  <c r="I28" i="4"/>
  <c r="I30" i="4" s="1"/>
  <c r="H28" i="4"/>
  <c r="H30" i="4" s="1"/>
  <c r="E28" i="4"/>
  <c r="E30" i="4" s="1"/>
  <c r="M28" i="4"/>
  <c r="M30" i="4" s="1"/>
  <c r="L28" i="4"/>
  <c r="L30" i="4" s="1"/>
  <c r="K28" i="4"/>
  <c r="K30" i="4" s="1"/>
  <c r="G28" i="4"/>
  <c r="G30" i="4" s="1"/>
  <c r="F28" i="4"/>
  <c r="F30" i="4" s="1"/>
  <c r="D28" i="4"/>
  <c r="D30" i="4" s="1"/>
  <c r="C28" i="4"/>
  <c r="C30" i="4" s="1"/>
  <c r="B28" i="4"/>
  <c r="B30" i="4" s="1"/>
  <c r="C60" i="4"/>
  <c r="C16" i="18" s="1"/>
  <c r="D60" i="4"/>
  <c r="D16" i="18" s="1"/>
  <c r="E60" i="4"/>
  <c r="E16" i="18" s="1"/>
  <c r="F60" i="4"/>
  <c r="F16" i="18" s="1"/>
  <c r="G60" i="4"/>
  <c r="H60" i="4"/>
  <c r="I60" i="4"/>
  <c r="I16" i="18" s="1"/>
  <c r="J60" i="4"/>
  <c r="K60" i="4"/>
  <c r="L60" i="4"/>
  <c r="L16" i="18" s="1"/>
  <c r="M60" i="4"/>
  <c r="B60" i="4"/>
  <c r="B16" i="18" s="1"/>
  <c r="B60" i="33"/>
  <c r="B61" i="4"/>
  <c r="B17" i="18" s="1"/>
  <c r="M62" i="43"/>
  <c r="M96" i="18"/>
  <c r="L62" i="43"/>
  <c r="L96" i="18" s="1"/>
  <c r="K62" i="43"/>
  <c r="K96" i="18" s="1"/>
  <c r="J62" i="43"/>
  <c r="J96" i="18" s="1"/>
  <c r="I62" i="43"/>
  <c r="I96" i="18" s="1"/>
  <c r="H62" i="43"/>
  <c r="H96" i="18" s="1"/>
  <c r="G62" i="43"/>
  <c r="G96" i="18" s="1"/>
  <c r="F62" i="43"/>
  <c r="F96" i="18" s="1"/>
  <c r="E62" i="43"/>
  <c r="E96" i="18" s="1"/>
  <c r="D62" i="43"/>
  <c r="D96" i="18" s="1"/>
  <c r="C62" i="43"/>
  <c r="C96" i="18" s="1"/>
  <c r="B62" i="43"/>
  <c r="B96" i="18" s="1"/>
  <c r="M61" i="43"/>
  <c r="M95" i="18"/>
  <c r="L61" i="43"/>
  <c r="L95" i="18" s="1"/>
  <c r="K61" i="43"/>
  <c r="K95" i="18" s="1"/>
  <c r="J61" i="43"/>
  <c r="J95" i="18" s="1"/>
  <c r="I61" i="43"/>
  <c r="I95" i="18" s="1"/>
  <c r="H61" i="43"/>
  <c r="H95" i="18" s="1"/>
  <c r="G61" i="43"/>
  <c r="G63" i="43" s="1"/>
  <c r="G95" i="18"/>
  <c r="F61" i="43"/>
  <c r="F95" i="18" s="1"/>
  <c r="E61" i="43"/>
  <c r="E95" i="18" s="1"/>
  <c r="D61" i="43"/>
  <c r="D95" i="18" s="1"/>
  <c r="C61" i="43"/>
  <c r="C95" i="18" s="1"/>
  <c r="B61" i="43"/>
  <c r="B95" i="18" s="1"/>
  <c r="M60" i="43"/>
  <c r="M94" i="18"/>
  <c r="L60" i="43"/>
  <c r="K60" i="43"/>
  <c r="K94" i="18" s="1"/>
  <c r="J60" i="43"/>
  <c r="I60" i="43"/>
  <c r="H60" i="43"/>
  <c r="H94" i="18" s="1"/>
  <c r="G60" i="43"/>
  <c r="F60" i="43"/>
  <c r="E60" i="43"/>
  <c r="D60" i="43"/>
  <c r="C60" i="43"/>
  <c r="C94" i="18" s="1"/>
  <c r="B60" i="43"/>
  <c r="M50" i="43"/>
  <c r="M52" i="43" s="1"/>
  <c r="L50" i="43"/>
  <c r="L52" i="43" s="1"/>
  <c r="K50" i="43"/>
  <c r="K52" i="43"/>
  <c r="J50" i="43"/>
  <c r="J52" i="43"/>
  <c r="I50" i="43"/>
  <c r="I52" i="43" s="1"/>
  <c r="H50" i="43"/>
  <c r="H52" i="43" s="1"/>
  <c r="G50" i="43"/>
  <c r="G52" i="43"/>
  <c r="F50" i="43"/>
  <c r="F52" i="43" s="1"/>
  <c r="E50" i="43"/>
  <c r="E52" i="43" s="1"/>
  <c r="D50" i="43"/>
  <c r="D52" i="43" s="1"/>
  <c r="C50" i="43"/>
  <c r="C52" i="43" s="1"/>
  <c r="B50" i="43"/>
  <c r="B52" i="43" s="1"/>
  <c r="N49" i="43"/>
  <c r="N48" i="43"/>
  <c r="N47" i="43"/>
  <c r="M39" i="43"/>
  <c r="M41" i="43" s="1"/>
  <c r="L39" i="43"/>
  <c r="L41" i="43" s="1"/>
  <c r="K39" i="43"/>
  <c r="K41" i="43"/>
  <c r="J39" i="43"/>
  <c r="J41" i="43" s="1"/>
  <c r="I39" i="43"/>
  <c r="I41" i="43" s="1"/>
  <c r="H39" i="43"/>
  <c r="H41" i="43" s="1"/>
  <c r="G39" i="43"/>
  <c r="G41" i="43" s="1"/>
  <c r="F39" i="43"/>
  <c r="F41" i="43" s="1"/>
  <c r="E39" i="43"/>
  <c r="E41" i="43" s="1"/>
  <c r="D39" i="43"/>
  <c r="D41" i="43" s="1"/>
  <c r="C39" i="43"/>
  <c r="C41" i="43" s="1"/>
  <c r="B39" i="43"/>
  <c r="B41" i="43" s="1"/>
  <c r="N38" i="43"/>
  <c r="N37" i="43"/>
  <c r="N36" i="43"/>
  <c r="M28" i="43"/>
  <c r="M30" i="43" s="1"/>
  <c r="L28" i="43"/>
  <c r="L30" i="43" s="1"/>
  <c r="K28" i="43"/>
  <c r="K30" i="43" s="1"/>
  <c r="J28" i="43"/>
  <c r="J30" i="43" s="1"/>
  <c r="I28" i="43"/>
  <c r="I30" i="43" s="1"/>
  <c r="H28" i="43"/>
  <c r="H30" i="43" s="1"/>
  <c r="G28" i="43"/>
  <c r="G30" i="43" s="1"/>
  <c r="F28" i="43"/>
  <c r="F30" i="43" s="1"/>
  <c r="E28" i="43"/>
  <c r="D28" i="43"/>
  <c r="D30" i="43" s="1"/>
  <c r="C28" i="43"/>
  <c r="C30" i="43" s="1"/>
  <c r="B28" i="43"/>
  <c r="B30" i="43" s="1"/>
  <c r="N27" i="43"/>
  <c r="N26" i="43"/>
  <c r="N25" i="43"/>
  <c r="M17" i="43"/>
  <c r="M19" i="43"/>
  <c r="L17" i="43"/>
  <c r="L19" i="43" s="1"/>
  <c r="K17" i="43"/>
  <c r="K19" i="43"/>
  <c r="J17" i="43"/>
  <c r="J19" i="43" s="1"/>
  <c r="I17" i="43"/>
  <c r="I19" i="43"/>
  <c r="H17" i="43"/>
  <c r="H19" i="43" s="1"/>
  <c r="G17" i="43"/>
  <c r="G19" i="43" s="1"/>
  <c r="F17" i="43"/>
  <c r="F19" i="43" s="1"/>
  <c r="E17" i="43"/>
  <c r="E19" i="43" s="1"/>
  <c r="D17" i="43"/>
  <c r="D19" i="43" s="1"/>
  <c r="C17" i="43"/>
  <c r="C19" i="43" s="1"/>
  <c r="B17" i="43"/>
  <c r="B19" i="43" s="1"/>
  <c r="N16" i="43"/>
  <c r="N15" i="43"/>
  <c r="N14" i="43"/>
  <c r="M62" i="42"/>
  <c r="M89" i="18" s="1"/>
  <c r="L62" i="42"/>
  <c r="L89" i="18" s="1"/>
  <c r="K62" i="42"/>
  <c r="K89" i="18" s="1"/>
  <c r="J62" i="42"/>
  <c r="J89" i="18" s="1"/>
  <c r="I62" i="42"/>
  <c r="I89" i="18" s="1"/>
  <c r="H62" i="42"/>
  <c r="H89" i="18" s="1"/>
  <c r="G62" i="42"/>
  <c r="G89" i="18" s="1"/>
  <c r="F62" i="42"/>
  <c r="F89" i="18" s="1"/>
  <c r="E62" i="42"/>
  <c r="E89" i="18" s="1"/>
  <c r="D62" i="42"/>
  <c r="D89" i="18" s="1"/>
  <c r="C62" i="42"/>
  <c r="C89" i="18" s="1"/>
  <c r="B62" i="42"/>
  <c r="B89" i="18" s="1"/>
  <c r="M61" i="42"/>
  <c r="M88" i="18" s="1"/>
  <c r="L61" i="42"/>
  <c r="L88" i="18" s="1"/>
  <c r="K61" i="42"/>
  <c r="J61" i="42"/>
  <c r="J88" i="18" s="1"/>
  <c r="I61" i="42"/>
  <c r="I88" i="18" s="1"/>
  <c r="H61" i="42"/>
  <c r="H88" i="18" s="1"/>
  <c r="G61" i="42"/>
  <c r="F61" i="42"/>
  <c r="F88" i="18" s="1"/>
  <c r="E61" i="42"/>
  <c r="E88" i="18" s="1"/>
  <c r="D61" i="42"/>
  <c r="D88" i="18" s="1"/>
  <c r="C61" i="42"/>
  <c r="B61" i="42"/>
  <c r="M60" i="42"/>
  <c r="M87" i="18" s="1"/>
  <c r="M63" i="42"/>
  <c r="M65" i="42" s="1"/>
  <c r="L60" i="42"/>
  <c r="K60" i="42"/>
  <c r="K87" i="18" s="1"/>
  <c r="J60" i="42"/>
  <c r="J87" i="18" s="1"/>
  <c r="I60" i="42"/>
  <c r="I87" i="18" s="1"/>
  <c r="H60" i="42"/>
  <c r="H87" i="18" s="1"/>
  <c r="G60" i="42"/>
  <c r="G87" i="18" s="1"/>
  <c r="F60" i="42"/>
  <c r="E60" i="42"/>
  <c r="D60" i="42"/>
  <c r="D87" i="18" s="1"/>
  <c r="C60" i="42"/>
  <c r="C87" i="18" s="1"/>
  <c r="B60" i="42"/>
  <c r="B87" i="18" s="1"/>
  <c r="M50" i="42"/>
  <c r="M52" i="42" s="1"/>
  <c r="L50" i="42"/>
  <c r="L52" i="42" s="1"/>
  <c r="K50" i="42"/>
  <c r="K52" i="42" s="1"/>
  <c r="J50" i="42"/>
  <c r="J52" i="42" s="1"/>
  <c r="I50" i="42"/>
  <c r="I52" i="42" s="1"/>
  <c r="H50" i="42"/>
  <c r="H52" i="42" s="1"/>
  <c r="G50" i="42"/>
  <c r="G52" i="42" s="1"/>
  <c r="F50" i="42"/>
  <c r="F52" i="42" s="1"/>
  <c r="E50" i="42"/>
  <c r="E52" i="42" s="1"/>
  <c r="D50" i="42"/>
  <c r="D52" i="42" s="1"/>
  <c r="C50" i="42"/>
  <c r="C52" i="42" s="1"/>
  <c r="B50" i="42"/>
  <c r="B52" i="42" s="1"/>
  <c r="N49" i="42"/>
  <c r="N48" i="42"/>
  <c r="N47" i="42"/>
  <c r="M39" i="42"/>
  <c r="M41" i="42"/>
  <c r="L39" i="42"/>
  <c r="L41" i="42" s="1"/>
  <c r="K39" i="42"/>
  <c r="K41" i="42" s="1"/>
  <c r="J39" i="42"/>
  <c r="J41" i="42" s="1"/>
  <c r="I39" i="42"/>
  <c r="I41" i="42" s="1"/>
  <c r="H39" i="42"/>
  <c r="H41" i="42"/>
  <c r="G39" i="42"/>
  <c r="G41" i="42" s="1"/>
  <c r="F39" i="42"/>
  <c r="F41" i="42" s="1"/>
  <c r="E39" i="42"/>
  <c r="E41" i="42" s="1"/>
  <c r="D39" i="42"/>
  <c r="D41" i="42" s="1"/>
  <c r="C39" i="42"/>
  <c r="C41" i="42" s="1"/>
  <c r="B39" i="42"/>
  <c r="B41" i="42" s="1"/>
  <c r="N38" i="42"/>
  <c r="N37" i="42"/>
  <c r="N36" i="42"/>
  <c r="M28" i="42"/>
  <c r="M30" i="42" s="1"/>
  <c r="L28" i="42"/>
  <c r="L30" i="42" s="1"/>
  <c r="K28" i="42"/>
  <c r="K30" i="42" s="1"/>
  <c r="J28" i="42"/>
  <c r="J30" i="42" s="1"/>
  <c r="I28" i="42"/>
  <c r="I30" i="42" s="1"/>
  <c r="H28" i="42"/>
  <c r="H30" i="42" s="1"/>
  <c r="G28" i="42"/>
  <c r="G30" i="42" s="1"/>
  <c r="F28" i="42"/>
  <c r="F30" i="42" s="1"/>
  <c r="E28" i="42"/>
  <c r="E30" i="42" s="1"/>
  <c r="D28" i="42"/>
  <c r="D30" i="42" s="1"/>
  <c r="C28" i="42"/>
  <c r="C30" i="42" s="1"/>
  <c r="B28" i="42"/>
  <c r="B30" i="42" s="1"/>
  <c r="N27" i="42"/>
  <c r="N26" i="42"/>
  <c r="N25" i="42"/>
  <c r="M17" i="42"/>
  <c r="M19" i="42"/>
  <c r="L17" i="42"/>
  <c r="L19" i="42" s="1"/>
  <c r="K17" i="42"/>
  <c r="K19" i="42" s="1"/>
  <c r="J17" i="42"/>
  <c r="J19" i="42" s="1"/>
  <c r="I17" i="42"/>
  <c r="I19" i="42" s="1"/>
  <c r="H17" i="42"/>
  <c r="H19" i="42" s="1"/>
  <c r="G17" i="42"/>
  <c r="G19" i="42" s="1"/>
  <c r="F17" i="42"/>
  <c r="F19" i="42" s="1"/>
  <c r="E17" i="42"/>
  <c r="E19" i="42" s="1"/>
  <c r="D17" i="42"/>
  <c r="D19" i="42" s="1"/>
  <c r="C17" i="42"/>
  <c r="C19" i="42" s="1"/>
  <c r="B17" i="42"/>
  <c r="B19" i="42" s="1"/>
  <c r="N16" i="42"/>
  <c r="N15" i="42"/>
  <c r="N14" i="42"/>
  <c r="M62" i="41"/>
  <c r="M82" i="18" s="1"/>
  <c r="L62" i="41"/>
  <c r="L82" i="18" s="1"/>
  <c r="K62" i="41"/>
  <c r="K82" i="18" s="1"/>
  <c r="J62" i="41"/>
  <c r="J82" i="18" s="1"/>
  <c r="I62" i="41"/>
  <c r="I82" i="18" s="1"/>
  <c r="H62" i="41"/>
  <c r="G62" i="41"/>
  <c r="G82" i="18" s="1"/>
  <c r="F62" i="41"/>
  <c r="F82" i="18" s="1"/>
  <c r="E62" i="41"/>
  <c r="E82" i="18" s="1"/>
  <c r="D62" i="41"/>
  <c r="C62" i="41"/>
  <c r="C82" i="18" s="1"/>
  <c r="B62" i="41"/>
  <c r="B82" i="18" s="1"/>
  <c r="M61" i="41"/>
  <c r="M81" i="18"/>
  <c r="L61" i="41"/>
  <c r="L81" i="18" s="1"/>
  <c r="K61" i="41"/>
  <c r="K81" i="18" s="1"/>
  <c r="J61" i="41"/>
  <c r="J81" i="18" s="1"/>
  <c r="I61" i="41"/>
  <c r="I81" i="18" s="1"/>
  <c r="H61" i="41"/>
  <c r="H81" i="18" s="1"/>
  <c r="G61" i="41"/>
  <c r="G81" i="18" s="1"/>
  <c r="F61" i="41"/>
  <c r="F81" i="18" s="1"/>
  <c r="E61" i="41"/>
  <c r="E81" i="18" s="1"/>
  <c r="D61" i="41"/>
  <c r="D81" i="18" s="1"/>
  <c r="C61" i="41"/>
  <c r="C81" i="18" s="1"/>
  <c r="B61" i="41"/>
  <c r="B81" i="18" s="1"/>
  <c r="M60" i="41"/>
  <c r="M80" i="18"/>
  <c r="M83" i="18"/>
  <c r="L60" i="41"/>
  <c r="L80" i="18" s="1"/>
  <c r="K60" i="41"/>
  <c r="J60" i="41"/>
  <c r="J80" i="18" s="1"/>
  <c r="I60" i="41"/>
  <c r="I80" i="18" s="1"/>
  <c r="H60" i="41"/>
  <c r="H80" i="18"/>
  <c r="G60" i="41"/>
  <c r="G80" i="18" s="1"/>
  <c r="F60" i="41"/>
  <c r="F80" i="18" s="1"/>
  <c r="E60" i="41"/>
  <c r="E80" i="18" s="1"/>
  <c r="D60" i="41"/>
  <c r="D80" i="18" s="1"/>
  <c r="C60" i="41"/>
  <c r="C80" i="18" s="1"/>
  <c r="B60" i="41"/>
  <c r="B80" i="18" s="1"/>
  <c r="M50" i="41"/>
  <c r="M52" i="41"/>
  <c r="L50" i="41"/>
  <c r="L52" i="41" s="1"/>
  <c r="K50" i="41"/>
  <c r="K52" i="41" s="1"/>
  <c r="J50" i="41"/>
  <c r="J52" i="41" s="1"/>
  <c r="I50" i="41"/>
  <c r="I52" i="41" s="1"/>
  <c r="H50" i="41"/>
  <c r="H52" i="41" s="1"/>
  <c r="G50" i="41"/>
  <c r="G52" i="41"/>
  <c r="F50" i="41"/>
  <c r="F52" i="41" s="1"/>
  <c r="E50" i="41"/>
  <c r="E52" i="41" s="1"/>
  <c r="D50" i="41"/>
  <c r="D52" i="41" s="1"/>
  <c r="C50" i="41"/>
  <c r="C52" i="41" s="1"/>
  <c r="B50" i="41"/>
  <c r="B52" i="41" s="1"/>
  <c r="N49" i="41"/>
  <c r="N48" i="41"/>
  <c r="N47" i="41"/>
  <c r="M39" i="41"/>
  <c r="M41" i="41" s="1"/>
  <c r="L39" i="41"/>
  <c r="L41" i="41" s="1"/>
  <c r="K39" i="41"/>
  <c r="K41" i="41" s="1"/>
  <c r="J39" i="41"/>
  <c r="J41" i="41" s="1"/>
  <c r="I39" i="41"/>
  <c r="I41" i="41" s="1"/>
  <c r="H39" i="41"/>
  <c r="H41" i="41" s="1"/>
  <c r="G39" i="41"/>
  <c r="G41" i="41" s="1"/>
  <c r="F39" i="41"/>
  <c r="F41" i="41" s="1"/>
  <c r="E39" i="41"/>
  <c r="D39" i="41"/>
  <c r="D41" i="41" s="1"/>
  <c r="C39" i="41"/>
  <c r="C41" i="41" s="1"/>
  <c r="B39" i="41"/>
  <c r="B41" i="41" s="1"/>
  <c r="N38" i="41"/>
  <c r="N37" i="41"/>
  <c r="N36" i="41"/>
  <c r="M28" i="41"/>
  <c r="M30" i="41"/>
  <c r="L28" i="41"/>
  <c r="L30" i="41" s="1"/>
  <c r="K28" i="41"/>
  <c r="K30" i="41" s="1"/>
  <c r="J28" i="41"/>
  <c r="J30" i="41" s="1"/>
  <c r="I28" i="41"/>
  <c r="I30" i="41" s="1"/>
  <c r="H28" i="41"/>
  <c r="H30" i="41"/>
  <c r="G28" i="41"/>
  <c r="G30" i="41" s="1"/>
  <c r="F28" i="41"/>
  <c r="F30" i="41" s="1"/>
  <c r="E28" i="41"/>
  <c r="E30" i="41" s="1"/>
  <c r="D28" i="41"/>
  <c r="D30" i="41"/>
  <c r="C28" i="41"/>
  <c r="C30" i="41" s="1"/>
  <c r="B28" i="41"/>
  <c r="B30" i="41" s="1"/>
  <c r="N27" i="41"/>
  <c r="N26" i="41"/>
  <c r="N25" i="41"/>
  <c r="M17" i="41"/>
  <c r="M19" i="41"/>
  <c r="L17" i="41"/>
  <c r="L19" i="41" s="1"/>
  <c r="K17" i="41"/>
  <c r="K19" i="41" s="1"/>
  <c r="J17" i="41"/>
  <c r="J19" i="41" s="1"/>
  <c r="I17" i="41"/>
  <c r="I19" i="41" s="1"/>
  <c r="H17" i="41"/>
  <c r="H19" i="41"/>
  <c r="G17" i="41"/>
  <c r="G19" i="41" s="1"/>
  <c r="F17" i="41"/>
  <c r="F19" i="41" s="1"/>
  <c r="E17" i="41"/>
  <c r="E19" i="41" s="1"/>
  <c r="D17" i="41"/>
  <c r="D19" i="41" s="1"/>
  <c r="C17" i="41"/>
  <c r="C19" i="41" s="1"/>
  <c r="B17" i="41"/>
  <c r="B19" i="41" s="1"/>
  <c r="N16" i="41"/>
  <c r="N15" i="41"/>
  <c r="N14" i="41"/>
  <c r="M62" i="40"/>
  <c r="M75" i="18"/>
  <c r="L62" i="40"/>
  <c r="K62" i="40"/>
  <c r="K75" i="18" s="1"/>
  <c r="J62" i="40"/>
  <c r="J75" i="18" s="1"/>
  <c r="I62" i="40"/>
  <c r="I75" i="18" s="1"/>
  <c r="H62" i="40"/>
  <c r="H75" i="18" s="1"/>
  <c r="G62" i="40"/>
  <c r="G75" i="18" s="1"/>
  <c r="F62" i="40"/>
  <c r="F75" i="18" s="1"/>
  <c r="E62" i="40"/>
  <c r="E75" i="18" s="1"/>
  <c r="D62" i="40"/>
  <c r="C62" i="40"/>
  <c r="C75" i="18" s="1"/>
  <c r="B62" i="40"/>
  <c r="B75" i="18" s="1"/>
  <c r="M61" i="40"/>
  <c r="M74" i="18"/>
  <c r="L61" i="40"/>
  <c r="L74" i="18" s="1"/>
  <c r="K61" i="40"/>
  <c r="K74" i="18" s="1"/>
  <c r="J61" i="40"/>
  <c r="J74" i="18" s="1"/>
  <c r="I61" i="40"/>
  <c r="I74" i="18" s="1"/>
  <c r="H61" i="40"/>
  <c r="H74" i="18" s="1"/>
  <c r="G61" i="40"/>
  <c r="G74" i="18" s="1"/>
  <c r="F61" i="40"/>
  <c r="F74" i="18" s="1"/>
  <c r="E61" i="40"/>
  <c r="E74" i="18" s="1"/>
  <c r="D61" i="40"/>
  <c r="D74" i="18" s="1"/>
  <c r="C61" i="40"/>
  <c r="C74" i="18" s="1"/>
  <c r="B61" i="40"/>
  <c r="B74" i="18" s="1"/>
  <c r="M60" i="40"/>
  <c r="M63" i="40" s="1"/>
  <c r="M65" i="40" s="1"/>
  <c r="L60" i="40"/>
  <c r="L73" i="18" s="1"/>
  <c r="K60" i="40"/>
  <c r="J60" i="40"/>
  <c r="I60" i="40"/>
  <c r="I73" i="18" s="1"/>
  <c r="H60" i="40"/>
  <c r="H73" i="18" s="1"/>
  <c r="G60" i="40"/>
  <c r="F60" i="40"/>
  <c r="F73" i="18" s="1"/>
  <c r="E60" i="40"/>
  <c r="E73" i="18" s="1"/>
  <c r="D60" i="40"/>
  <c r="D73" i="18" s="1"/>
  <c r="C60" i="40"/>
  <c r="C73" i="18" s="1"/>
  <c r="B60" i="40"/>
  <c r="B73" i="18" s="1"/>
  <c r="M50" i="40"/>
  <c r="M52" i="40"/>
  <c r="L50" i="40"/>
  <c r="L52" i="40" s="1"/>
  <c r="K50" i="40"/>
  <c r="K52" i="40" s="1"/>
  <c r="J50" i="40"/>
  <c r="J52" i="40" s="1"/>
  <c r="I50" i="40"/>
  <c r="I52" i="40" s="1"/>
  <c r="H50" i="40"/>
  <c r="H52" i="40" s="1"/>
  <c r="G50" i="40"/>
  <c r="G52" i="40" s="1"/>
  <c r="F50" i="40"/>
  <c r="F52" i="40" s="1"/>
  <c r="E50" i="40"/>
  <c r="E52" i="40" s="1"/>
  <c r="D50" i="40"/>
  <c r="D52" i="40" s="1"/>
  <c r="C50" i="40"/>
  <c r="C52" i="40" s="1"/>
  <c r="B50" i="40"/>
  <c r="B52" i="40" s="1"/>
  <c r="N49" i="40"/>
  <c r="N48" i="40"/>
  <c r="N47" i="40"/>
  <c r="M39" i="40"/>
  <c r="M41" i="40" s="1"/>
  <c r="L39" i="40"/>
  <c r="L41" i="40" s="1"/>
  <c r="K39" i="40"/>
  <c r="K41" i="40" s="1"/>
  <c r="J39" i="40"/>
  <c r="J41" i="40" s="1"/>
  <c r="I39" i="40"/>
  <c r="I41" i="40" s="1"/>
  <c r="H39" i="40"/>
  <c r="H41" i="40" s="1"/>
  <c r="G39" i="40"/>
  <c r="G41" i="40" s="1"/>
  <c r="F39" i="40"/>
  <c r="F41" i="40" s="1"/>
  <c r="E39" i="40"/>
  <c r="E41" i="40" s="1"/>
  <c r="D39" i="40"/>
  <c r="D41" i="40" s="1"/>
  <c r="C39" i="40"/>
  <c r="C41" i="40" s="1"/>
  <c r="B39" i="40"/>
  <c r="B41" i="40" s="1"/>
  <c r="N38" i="40"/>
  <c r="N37" i="40"/>
  <c r="N36" i="40"/>
  <c r="M28" i="40"/>
  <c r="M30" i="40" s="1"/>
  <c r="L28" i="40"/>
  <c r="L30" i="40" s="1"/>
  <c r="K28" i="40"/>
  <c r="K30" i="40" s="1"/>
  <c r="J28" i="40"/>
  <c r="J30" i="40" s="1"/>
  <c r="I28" i="40"/>
  <c r="I30" i="40" s="1"/>
  <c r="H28" i="40"/>
  <c r="H30" i="40" s="1"/>
  <c r="G28" i="40"/>
  <c r="G30" i="40" s="1"/>
  <c r="F28" i="40"/>
  <c r="F30" i="40" s="1"/>
  <c r="E28" i="40"/>
  <c r="E30" i="40" s="1"/>
  <c r="D28" i="40"/>
  <c r="D30" i="40" s="1"/>
  <c r="C28" i="40"/>
  <c r="C30" i="40" s="1"/>
  <c r="B28" i="40"/>
  <c r="B30" i="40" s="1"/>
  <c r="N27" i="40"/>
  <c r="N26" i="40"/>
  <c r="N25" i="40"/>
  <c r="M17" i="40"/>
  <c r="M19" i="40"/>
  <c r="L17" i="40"/>
  <c r="L19" i="40" s="1"/>
  <c r="K17" i="40"/>
  <c r="K19" i="40" s="1"/>
  <c r="J17" i="40"/>
  <c r="J19" i="40" s="1"/>
  <c r="I17" i="40"/>
  <c r="I19" i="40"/>
  <c r="H17" i="40"/>
  <c r="H19" i="40" s="1"/>
  <c r="G17" i="40"/>
  <c r="G19" i="40" s="1"/>
  <c r="F17" i="40"/>
  <c r="F19" i="40" s="1"/>
  <c r="E17" i="40"/>
  <c r="E19" i="40" s="1"/>
  <c r="C17" i="40"/>
  <c r="C19" i="40" s="1"/>
  <c r="B17" i="40"/>
  <c r="N16" i="40"/>
  <c r="N15" i="40"/>
  <c r="N14" i="40"/>
  <c r="M62" i="39"/>
  <c r="M68" i="18" s="1"/>
  <c r="L62" i="39"/>
  <c r="L68" i="18" s="1"/>
  <c r="K62" i="39"/>
  <c r="J62" i="39"/>
  <c r="J68" i="18" s="1"/>
  <c r="I62" i="39"/>
  <c r="H62" i="39"/>
  <c r="H68" i="18" s="1"/>
  <c r="G62" i="39"/>
  <c r="G68" i="18" s="1"/>
  <c r="F62" i="39"/>
  <c r="F68" i="18" s="1"/>
  <c r="E62" i="39"/>
  <c r="E68" i="18" s="1"/>
  <c r="D62" i="39"/>
  <c r="D68" i="18" s="1"/>
  <c r="C62" i="39"/>
  <c r="B62" i="39"/>
  <c r="B68" i="18" s="1"/>
  <c r="M61" i="39"/>
  <c r="M67" i="18" s="1"/>
  <c r="L61" i="39"/>
  <c r="K61" i="39"/>
  <c r="K67" i="18" s="1"/>
  <c r="J61" i="39"/>
  <c r="J67" i="18" s="1"/>
  <c r="I61" i="39"/>
  <c r="I67" i="18" s="1"/>
  <c r="H61" i="39"/>
  <c r="H67" i="18" s="1"/>
  <c r="G61" i="39"/>
  <c r="G67" i="18" s="1"/>
  <c r="F61" i="39"/>
  <c r="F67" i="18" s="1"/>
  <c r="E61" i="39"/>
  <c r="E67" i="18" s="1"/>
  <c r="D61" i="39"/>
  <c r="D67" i="18" s="1"/>
  <c r="C61" i="39"/>
  <c r="C67" i="18" s="1"/>
  <c r="B61" i="39"/>
  <c r="M60" i="39"/>
  <c r="M66" i="18" s="1"/>
  <c r="L60" i="39"/>
  <c r="L66" i="18" s="1"/>
  <c r="K60" i="39"/>
  <c r="K66" i="18" s="1"/>
  <c r="J60" i="39"/>
  <c r="I60" i="39"/>
  <c r="I66" i="18" s="1"/>
  <c r="H60" i="39"/>
  <c r="H66" i="18" s="1"/>
  <c r="G60" i="39"/>
  <c r="F60" i="39"/>
  <c r="E60" i="39"/>
  <c r="D60" i="39"/>
  <c r="C60" i="39"/>
  <c r="C66" i="18" s="1"/>
  <c r="B60" i="39"/>
  <c r="M50" i="39"/>
  <c r="M52" i="39"/>
  <c r="L50" i="39"/>
  <c r="L52" i="39" s="1"/>
  <c r="K50" i="39"/>
  <c r="K52" i="39" s="1"/>
  <c r="J50" i="39"/>
  <c r="J52" i="39" s="1"/>
  <c r="I50" i="39"/>
  <c r="I52" i="39" s="1"/>
  <c r="H50" i="39"/>
  <c r="H52" i="39"/>
  <c r="G50" i="39"/>
  <c r="G52" i="39" s="1"/>
  <c r="F50" i="39"/>
  <c r="F52" i="39" s="1"/>
  <c r="E50" i="39"/>
  <c r="E52" i="39" s="1"/>
  <c r="D50" i="39"/>
  <c r="D52" i="39" s="1"/>
  <c r="C50" i="39"/>
  <c r="C52" i="39" s="1"/>
  <c r="B50" i="39"/>
  <c r="B52" i="39" s="1"/>
  <c r="N49" i="39"/>
  <c r="N48" i="39"/>
  <c r="N47" i="39"/>
  <c r="M39" i="39"/>
  <c r="M41" i="39" s="1"/>
  <c r="L39" i="39"/>
  <c r="L41" i="39" s="1"/>
  <c r="K39" i="39"/>
  <c r="K41" i="39" s="1"/>
  <c r="J39" i="39"/>
  <c r="J41" i="39" s="1"/>
  <c r="I39" i="39"/>
  <c r="I41" i="39" s="1"/>
  <c r="H39" i="39"/>
  <c r="H41" i="39"/>
  <c r="G39" i="39"/>
  <c r="G41" i="39" s="1"/>
  <c r="F39" i="39"/>
  <c r="F41" i="39" s="1"/>
  <c r="E39" i="39"/>
  <c r="E41" i="39" s="1"/>
  <c r="D39" i="39"/>
  <c r="D41" i="39" s="1"/>
  <c r="C39" i="39"/>
  <c r="B39" i="39"/>
  <c r="B41" i="39" s="1"/>
  <c r="N38" i="39"/>
  <c r="N37" i="39"/>
  <c r="N36" i="39"/>
  <c r="M28" i="39"/>
  <c r="M30" i="39" s="1"/>
  <c r="L28" i="39"/>
  <c r="L30" i="39" s="1"/>
  <c r="K28" i="39"/>
  <c r="K30" i="39" s="1"/>
  <c r="J28" i="39"/>
  <c r="J30" i="39" s="1"/>
  <c r="I28" i="39"/>
  <c r="I30" i="39" s="1"/>
  <c r="H28" i="39"/>
  <c r="H30" i="39" s="1"/>
  <c r="G28" i="39"/>
  <c r="G30" i="39" s="1"/>
  <c r="F28" i="39"/>
  <c r="F30" i="39" s="1"/>
  <c r="E28" i="39"/>
  <c r="E30" i="39" s="1"/>
  <c r="D28" i="39"/>
  <c r="D30" i="39" s="1"/>
  <c r="C28" i="39"/>
  <c r="C30" i="39" s="1"/>
  <c r="B28" i="39"/>
  <c r="N27" i="39"/>
  <c r="N26" i="39"/>
  <c r="N25" i="39"/>
  <c r="M17" i="39"/>
  <c r="M19" i="39"/>
  <c r="L17" i="39"/>
  <c r="L19" i="39" s="1"/>
  <c r="K17" i="39"/>
  <c r="K19" i="39" s="1"/>
  <c r="J17" i="39"/>
  <c r="J19" i="39" s="1"/>
  <c r="I17" i="39"/>
  <c r="I19" i="39" s="1"/>
  <c r="H17" i="39"/>
  <c r="H19" i="39" s="1"/>
  <c r="G17" i="39"/>
  <c r="G19" i="39" s="1"/>
  <c r="F17" i="39"/>
  <c r="F19" i="39" s="1"/>
  <c r="E17" i="39"/>
  <c r="E19" i="39" s="1"/>
  <c r="D17" i="39"/>
  <c r="D19" i="39" s="1"/>
  <c r="C17" i="39"/>
  <c r="C19" i="39" s="1"/>
  <c r="B17" i="39"/>
  <c r="N16" i="39"/>
  <c r="N15" i="39"/>
  <c r="N14" i="39"/>
  <c r="L63" i="43"/>
  <c r="L65" i="43" s="1"/>
  <c r="L94" i="18"/>
  <c r="M63" i="43"/>
  <c r="M65" i="43" s="1"/>
  <c r="H63" i="43"/>
  <c r="H65" i="43" s="1"/>
  <c r="K63" i="43"/>
  <c r="K65" i="43" s="1"/>
  <c r="G94" i="18"/>
  <c r="E94" i="18"/>
  <c r="D94" i="18"/>
  <c r="F87" i="18"/>
  <c r="J63" i="42"/>
  <c r="J65" i="42" s="1"/>
  <c r="B88" i="18"/>
  <c r="M63" i="41"/>
  <c r="M65" i="41" s="1"/>
  <c r="F66" i="18"/>
  <c r="B66" i="18"/>
  <c r="M62" i="38"/>
  <c r="M61" i="18" s="1"/>
  <c r="L62" i="38"/>
  <c r="L61" i="18" s="1"/>
  <c r="K62" i="38"/>
  <c r="K61" i="18" s="1"/>
  <c r="J62" i="38"/>
  <c r="J61" i="18" s="1"/>
  <c r="I62" i="38"/>
  <c r="I61" i="18" s="1"/>
  <c r="H62" i="38"/>
  <c r="H61" i="18" s="1"/>
  <c r="G62" i="38"/>
  <c r="G61" i="18"/>
  <c r="F62" i="38"/>
  <c r="F61" i="18" s="1"/>
  <c r="E62" i="38"/>
  <c r="E61" i="18" s="1"/>
  <c r="D62" i="38"/>
  <c r="C62" i="38"/>
  <c r="C61" i="18" s="1"/>
  <c r="B62" i="38"/>
  <c r="M61" i="38"/>
  <c r="M60" i="18" s="1"/>
  <c r="L61" i="38"/>
  <c r="L60" i="18" s="1"/>
  <c r="K61" i="38"/>
  <c r="K60" i="18" s="1"/>
  <c r="J61" i="38"/>
  <c r="J60" i="18" s="1"/>
  <c r="I61" i="38"/>
  <c r="I60" i="18" s="1"/>
  <c r="H61" i="38"/>
  <c r="H60" i="18" s="1"/>
  <c r="G61" i="38"/>
  <c r="G60" i="18" s="1"/>
  <c r="G62" i="18" s="1"/>
  <c r="F61" i="38"/>
  <c r="F60" i="18" s="1"/>
  <c r="E61" i="38"/>
  <c r="E60" i="18" s="1"/>
  <c r="D61" i="38"/>
  <c r="D60" i="18" s="1"/>
  <c r="C61" i="38"/>
  <c r="B61" i="38"/>
  <c r="B60" i="18" s="1"/>
  <c r="M60" i="38"/>
  <c r="M59" i="18" s="1"/>
  <c r="L60" i="38"/>
  <c r="K60" i="38"/>
  <c r="K59" i="18" s="1"/>
  <c r="J60" i="38"/>
  <c r="I60" i="38"/>
  <c r="H60" i="38"/>
  <c r="G60" i="38"/>
  <c r="F60" i="38"/>
  <c r="E60" i="38"/>
  <c r="E59" i="18" s="1"/>
  <c r="D60" i="38"/>
  <c r="C60" i="38"/>
  <c r="C59" i="18" s="1"/>
  <c r="B60" i="38"/>
  <c r="B59" i="18" s="1"/>
  <c r="M50" i="38"/>
  <c r="M52" i="38"/>
  <c r="L50" i="38"/>
  <c r="L52" i="38" s="1"/>
  <c r="K50" i="38"/>
  <c r="K52" i="38" s="1"/>
  <c r="J50" i="38"/>
  <c r="J52" i="38" s="1"/>
  <c r="I50" i="38"/>
  <c r="H50" i="38"/>
  <c r="H52" i="38" s="1"/>
  <c r="G50" i="38"/>
  <c r="G52" i="38" s="1"/>
  <c r="F50" i="38"/>
  <c r="F52" i="38" s="1"/>
  <c r="E50" i="38"/>
  <c r="E52" i="38" s="1"/>
  <c r="D50" i="38"/>
  <c r="D52" i="38" s="1"/>
  <c r="C50" i="38"/>
  <c r="C52" i="38" s="1"/>
  <c r="B50" i="38"/>
  <c r="B52" i="38" s="1"/>
  <c r="N49" i="38"/>
  <c r="N48" i="38"/>
  <c r="N47" i="38"/>
  <c r="M39" i="38"/>
  <c r="M41" i="38" s="1"/>
  <c r="L39" i="38"/>
  <c r="L41" i="38" s="1"/>
  <c r="K39" i="38"/>
  <c r="K41" i="38" s="1"/>
  <c r="J39" i="38"/>
  <c r="J41" i="38" s="1"/>
  <c r="I39" i="38"/>
  <c r="I41" i="38" s="1"/>
  <c r="H39" i="38"/>
  <c r="H41" i="38" s="1"/>
  <c r="G39" i="38"/>
  <c r="G41" i="38" s="1"/>
  <c r="F39" i="38"/>
  <c r="F41" i="38" s="1"/>
  <c r="E39" i="38"/>
  <c r="E41" i="38" s="1"/>
  <c r="D39" i="38"/>
  <c r="D41" i="38" s="1"/>
  <c r="C39" i="38"/>
  <c r="C41" i="38" s="1"/>
  <c r="B39" i="38"/>
  <c r="B41" i="38" s="1"/>
  <c r="N38" i="38"/>
  <c r="N36" i="38"/>
  <c r="M28" i="38"/>
  <c r="M30" i="38"/>
  <c r="L28" i="38"/>
  <c r="L30" i="38" s="1"/>
  <c r="K28" i="38"/>
  <c r="K30" i="38" s="1"/>
  <c r="J28" i="38"/>
  <c r="J30" i="38" s="1"/>
  <c r="I28" i="38"/>
  <c r="I30" i="38" s="1"/>
  <c r="H28" i="38"/>
  <c r="H30" i="38" s="1"/>
  <c r="G28" i="38"/>
  <c r="G30" i="38" s="1"/>
  <c r="F28" i="38"/>
  <c r="F30" i="38" s="1"/>
  <c r="E28" i="38"/>
  <c r="E30" i="38" s="1"/>
  <c r="D28" i="38"/>
  <c r="D30" i="38" s="1"/>
  <c r="C28" i="38"/>
  <c r="C30" i="38" s="1"/>
  <c r="B28" i="38"/>
  <c r="B30" i="38" s="1"/>
  <c r="N27" i="38"/>
  <c r="N26" i="38"/>
  <c r="N25" i="38"/>
  <c r="K19" i="38"/>
  <c r="J19" i="38"/>
  <c r="H19" i="38"/>
  <c r="G19" i="38"/>
  <c r="F19" i="38"/>
  <c r="C19" i="38"/>
  <c r="B19" i="38"/>
  <c r="N16" i="38"/>
  <c r="N15" i="38"/>
  <c r="N14" i="38"/>
  <c r="M62" i="37"/>
  <c r="M54" i="18" s="1"/>
  <c r="L62" i="37"/>
  <c r="L54" i="18" s="1"/>
  <c r="K62" i="37"/>
  <c r="K54" i="18" s="1"/>
  <c r="J62" i="37"/>
  <c r="J54" i="18" s="1"/>
  <c r="I62" i="37"/>
  <c r="I54" i="18" s="1"/>
  <c r="H62" i="37"/>
  <c r="H54" i="18"/>
  <c r="G62" i="37"/>
  <c r="G54" i="18" s="1"/>
  <c r="F62" i="37"/>
  <c r="F54" i="18" s="1"/>
  <c r="E62" i="37"/>
  <c r="E54" i="18" s="1"/>
  <c r="D62" i="37"/>
  <c r="D54" i="18" s="1"/>
  <c r="C62" i="37"/>
  <c r="C54" i="18" s="1"/>
  <c r="B62" i="37"/>
  <c r="M61" i="37"/>
  <c r="M53" i="18" s="1"/>
  <c r="L61" i="37"/>
  <c r="L53" i="18" s="1"/>
  <c r="K61" i="37"/>
  <c r="K53" i="18" s="1"/>
  <c r="J61" i="37"/>
  <c r="J53" i="18" s="1"/>
  <c r="I61" i="37"/>
  <c r="I53" i="18" s="1"/>
  <c r="H61" i="37"/>
  <c r="H53" i="18" s="1"/>
  <c r="G61" i="37"/>
  <c r="G53" i="18" s="1"/>
  <c r="F61" i="37"/>
  <c r="F53" i="18" s="1"/>
  <c r="E61" i="37"/>
  <c r="E53" i="18" s="1"/>
  <c r="D61" i="37"/>
  <c r="D53" i="18" s="1"/>
  <c r="C61" i="37"/>
  <c r="C53" i="18" s="1"/>
  <c r="B61" i="37"/>
  <c r="B53" i="18" s="1"/>
  <c r="M60" i="37"/>
  <c r="L60" i="37"/>
  <c r="K60" i="37"/>
  <c r="J60" i="37"/>
  <c r="J52" i="18" s="1"/>
  <c r="I60" i="37"/>
  <c r="I52" i="18" s="1"/>
  <c r="H60" i="37"/>
  <c r="G60" i="37"/>
  <c r="F60" i="37"/>
  <c r="F52" i="18" s="1"/>
  <c r="E60" i="37"/>
  <c r="D60" i="37"/>
  <c r="D52" i="18" s="1"/>
  <c r="C60" i="37"/>
  <c r="C52" i="18" s="1"/>
  <c r="B60" i="37"/>
  <c r="M50" i="37"/>
  <c r="M52" i="37" s="1"/>
  <c r="L50" i="37"/>
  <c r="L52" i="37" s="1"/>
  <c r="K50" i="37"/>
  <c r="K52" i="37" s="1"/>
  <c r="J50" i="37"/>
  <c r="J52" i="37" s="1"/>
  <c r="I50" i="37"/>
  <c r="I52" i="37" s="1"/>
  <c r="H50" i="37"/>
  <c r="H52" i="37" s="1"/>
  <c r="G50" i="37"/>
  <c r="G52" i="37" s="1"/>
  <c r="F50" i="37"/>
  <c r="F52" i="37" s="1"/>
  <c r="E50" i="37"/>
  <c r="E52" i="37" s="1"/>
  <c r="D50" i="37"/>
  <c r="D52" i="37" s="1"/>
  <c r="C50" i="37"/>
  <c r="B50" i="37"/>
  <c r="N49" i="37"/>
  <c r="N48" i="37"/>
  <c r="N47" i="37"/>
  <c r="M39" i="37"/>
  <c r="M41" i="37"/>
  <c r="L39" i="37"/>
  <c r="L41" i="37" s="1"/>
  <c r="K39" i="37"/>
  <c r="K41" i="37" s="1"/>
  <c r="J39" i="37"/>
  <c r="J41" i="37" s="1"/>
  <c r="I39" i="37"/>
  <c r="I41" i="37" s="1"/>
  <c r="H39" i="37"/>
  <c r="H41" i="37" s="1"/>
  <c r="G39" i="37"/>
  <c r="G41" i="37"/>
  <c r="F39" i="37"/>
  <c r="F41" i="37" s="1"/>
  <c r="E39" i="37"/>
  <c r="E41" i="37" s="1"/>
  <c r="D39" i="37"/>
  <c r="D41" i="37" s="1"/>
  <c r="C39" i="37"/>
  <c r="C41" i="37" s="1"/>
  <c r="B39" i="37"/>
  <c r="N38" i="37"/>
  <c r="N37" i="37"/>
  <c r="N36" i="37"/>
  <c r="M28" i="37"/>
  <c r="M30" i="37" s="1"/>
  <c r="L28" i="37"/>
  <c r="L30" i="37" s="1"/>
  <c r="K28" i="37"/>
  <c r="K30" i="37" s="1"/>
  <c r="J28" i="37"/>
  <c r="J30" i="37" s="1"/>
  <c r="I28" i="37"/>
  <c r="I30" i="37" s="1"/>
  <c r="H28" i="37"/>
  <c r="H30" i="37" s="1"/>
  <c r="G28" i="37"/>
  <c r="G30" i="37" s="1"/>
  <c r="F28" i="37"/>
  <c r="F30" i="37" s="1"/>
  <c r="E28" i="37"/>
  <c r="E30" i="37" s="1"/>
  <c r="D28" i="37"/>
  <c r="D30" i="37" s="1"/>
  <c r="C28" i="37"/>
  <c r="C30" i="37" s="1"/>
  <c r="B28" i="37"/>
  <c r="B30" i="37" s="1"/>
  <c r="N27" i="37"/>
  <c r="N26" i="37"/>
  <c r="N25" i="37"/>
  <c r="M17" i="37"/>
  <c r="M19" i="37" s="1"/>
  <c r="L17" i="37"/>
  <c r="L19" i="37" s="1"/>
  <c r="K17" i="37"/>
  <c r="K19" i="37" s="1"/>
  <c r="J17" i="37"/>
  <c r="J19" i="37" s="1"/>
  <c r="I17" i="37"/>
  <c r="I19" i="37" s="1"/>
  <c r="H17" i="37"/>
  <c r="H19" i="37" s="1"/>
  <c r="G17" i="37"/>
  <c r="G19" i="37"/>
  <c r="F17" i="37"/>
  <c r="F19" i="37" s="1"/>
  <c r="E17" i="37"/>
  <c r="E19" i="37" s="1"/>
  <c r="D17" i="37"/>
  <c r="D19" i="37" s="1"/>
  <c r="C17" i="37"/>
  <c r="C19" i="37" s="1"/>
  <c r="B17" i="37"/>
  <c r="B19" i="37" s="1"/>
  <c r="N16" i="37"/>
  <c r="N15" i="37"/>
  <c r="N14" i="37"/>
  <c r="M62" i="36"/>
  <c r="M47" i="18"/>
  <c r="L62" i="36"/>
  <c r="K62" i="36"/>
  <c r="K47" i="18" s="1"/>
  <c r="J62" i="36"/>
  <c r="I62" i="36"/>
  <c r="I47" i="18" s="1"/>
  <c r="H62" i="36"/>
  <c r="H47" i="18" s="1"/>
  <c r="G62" i="36"/>
  <c r="G47" i="18" s="1"/>
  <c r="F62" i="36"/>
  <c r="E62" i="36"/>
  <c r="E47" i="18" s="1"/>
  <c r="D62" i="36"/>
  <c r="D47" i="18" s="1"/>
  <c r="C62" i="36"/>
  <c r="C47" i="18" s="1"/>
  <c r="B62" i="36"/>
  <c r="B47" i="18" s="1"/>
  <c r="M61" i="36"/>
  <c r="M46" i="18" s="1"/>
  <c r="L61" i="36"/>
  <c r="L46" i="18" s="1"/>
  <c r="K61" i="36"/>
  <c r="J61" i="36"/>
  <c r="J46" i="18" s="1"/>
  <c r="I61" i="36"/>
  <c r="I46" i="18" s="1"/>
  <c r="H61" i="36"/>
  <c r="H46" i="18" s="1"/>
  <c r="G61" i="36"/>
  <c r="G46" i="18" s="1"/>
  <c r="F61" i="36"/>
  <c r="F46" i="18" s="1"/>
  <c r="E61" i="36"/>
  <c r="E46" i="18" s="1"/>
  <c r="D61" i="36"/>
  <c r="D46" i="18" s="1"/>
  <c r="C61" i="36"/>
  <c r="C46" i="18" s="1"/>
  <c r="B61" i="36"/>
  <c r="M60" i="36"/>
  <c r="L60" i="36"/>
  <c r="L45" i="18" s="1"/>
  <c r="K60" i="36"/>
  <c r="J60" i="36"/>
  <c r="J45" i="18" s="1"/>
  <c r="I60" i="36"/>
  <c r="H60" i="36"/>
  <c r="H45" i="18" s="1"/>
  <c r="G60" i="36"/>
  <c r="F60" i="36"/>
  <c r="F45" i="18" s="1"/>
  <c r="E60" i="36"/>
  <c r="E45" i="18" s="1"/>
  <c r="D60" i="36"/>
  <c r="D45" i="18" s="1"/>
  <c r="C60" i="36"/>
  <c r="B60" i="36"/>
  <c r="B45" i="18" s="1"/>
  <c r="M50" i="36"/>
  <c r="M52" i="36"/>
  <c r="L50" i="36"/>
  <c r="L52" i="36" s="1"/>
  <c r="K50" i="36"/>
  <c r="K52" i="36" s="1"/>
  <c r="J50" i="36"/>
  <c r="J52" i="36" s="1"/>
  <c r="I50" i="36"/>
  <c r="I52" i="36" s="1"/>
  <c r="H50" i="36"/>
  <c r="H52" i="36" s="1"/>
  <c r="G50" i="36"/>
  <c r="G52" i="36" s="1"/>
  <c r="F50" i="36"/>
  <c r="F52" i="36" s="1"/>
  <c r="E50" i="36"/>
  <c r="E52" i="36" s="1"/>
  <c r="D50" i="36"/>
  <c r="D52" i="36" s="1"/>
  <c r="C50" i="36"/>
  <c r="C52" i="36" s="1"/>
  <c r="B50" i="36"/>
  <c r="N49" i="36"/>
  <c r="N48" i="36"/>
  <c r="N47" i="36"/>
  <c r="M39" i="36"/>
  <c r="M41" i="36" s="1"/>
  <c r="L39" i="36"/>
  <c r="L41" i="36" s="1"/>
  <c r="K39" i="36"/>
  <c r="K41" i="36" s="1"/>
  <c r="J39" i="36"/>
  <c r="J41" i="36" s="1"/>
  <c r="I39" i="36"/>
  <c r="I41" i="36" s="1"/>
  <c r="H39" i="36"/>
  <c r="H41" i="36" s="1"/>
  <c r="G39" i="36"/>
  <c r="G41" i="36" s="1"/>
  <c r="F39" i="36"/>
  <c r="F41" i="36" s="1"/>
  <c r="E39" i="36"/>
  <c r="E41" i="36" s="1"/>
  <c r="D39" i="36"/>
  <c r="D41" i="36" s="1"/>
  <c r="C39" i="36"/>
  <c r="C41" i="36" s="1"/>
  <c r="B39" i="36"/>
  <c r="B41" i="36" s="1"/>
  <c r="N38" i="36"/>
  <c r="N37" i="36"/>
  <c r="N36" i="36"/>
  <c r="M28" i="36"/>
  <c r="M30" i="36" s="1"/>
  <c r="L28" i="36"/>
  <c r="L30" i="36" s="1"/>
  <c r="K28" i="36"/>
  <c r="K30" i="36" s="1"/>
  <c r="J28" i="36"/>
  <c r="J30" i="36" s="1"/>
  <c r="I28" i="36"/>
  <c r="I30" i="36" s="1"/>
  <c r="H28" i="36"/>
  <c r="H30" i="36" s="1"/>
  <c r="G28" i="36"/>
  <c r="G30" i="36" s="1"/>
  <c r="F28" i="36"/>
  <c r="F30" i="36" s="1"/>
  <c r="E28" i="36"/>
  <c r="E30" i="36" s="1"/>
  <c r="D28" i="36"/>
  <c r="D30" i="36" s="1"/>
  <c r="C28" i="36"/>
  <c r="B28" i="36"/>
  <c r="B30" i="36" s="1"/>
  <c r="N27" i="36"/>
  <c r="N26" i="36"/>
  <c r="N25" i="36"/>
  <c r="M17" i="36"/>
  <c r="M19" i="36" s="1"/>
  <c r="L17" i="36"/>
  <c r="L19" i="36" s="1"/>
  <c r="K17" i="36"/>
  <c r="K19" i="36" s="1"/>
  <c r="J17" i="36"/>
  <c r="J19" i="36" s="1"/>
  <c r="I17" i="36"/>
  <c r="I19" i="36" s="1"/>
  <c r="H17" i="36"/>
  <c r="H19" i="36" s="1"/>
  <c r="G17" i="36"/>
  <c r="G19" i="36" s="1"/>
  <c r="F17" i="36"/>
  <c r="F19" i="36" s="1"/>
  <c r="E17" i="36"/>
  <c r="E19" i="36" s="1"/>
  <c r="D17" i="36"/>
  <c r="D19" i="36" s="1"/>
  <c r="C17" i="36"/>
  <c r="C19" i="36" s="1"/>
  <c r="B17" i="36"/>
  <c r="B19" i="36" s="1"/>
  <c r="N16" i="36"/>
  <c r="N15" i="36"/>
  <c r="N14" i="36"/>
  <c r="M62" i="35"/>
  <c r="M40" i="18" s="1"/>
  <c r="L62" i="35"/>
  <c r="L40" i="18"/>
  <c r="K62" i="35"/>
  <c r="K40" i="18" s="1"/>
  <c r="J62" i="35"/>
  <c r="J40" i="18" s="1"/>
  <c r="I62" i="35"/>
  <c r="I40" i="18" s="1"/>
  <c r="H62" i="35"/>
  <c r="H40" i="18" s="1"/>
  <c r="G62" i="35"/>
  <c r="G40" i="18" s="1"/>
  <c r="F62" i="35"/>
  <c r="F40" i="18" s="1"/>
  <c r="E62" i="35"/>
  <c r="E40" i="18" s="1"/>
  <c r="D62" i="35"/>
  <c r="D40" i="18" s="1"/>
  <c r="C62" i="35"/>
  <c r="C40" i="18" s="1"/>
  <c r="B62" i="35"/>
  <c r="B40" i="18" s="1"/>
  <c r="M61" i="35"/>
  <c r="M39" i="18" s="1"/>
  <c r="L61" i="35"/>
  <c r="L39" i="18" s="1"/>
  <c r="K61" i="35"/>
  <c r="K39" i="18" s="1"/>
  <c r="J61" i="35"/>
  <c r="J39" i="18" s="1"/>
  <c r="I61" i="35"/>
  <c r="I39" i="18" s="1"/>
  <c r="H61" i="35"/>
  <c r="H39" i="18" s="1"/>
  <c r="G61" i="35"/>
  <c r="G39" i="18" s="1"/>
  <c r="F61" i="35"/>
  <c r="F39" i="18" s="1"/>
  <c r="E61" i="35"/>
  <c r="E39" i="18" s="1"/>
  <c r="D61" i="35"/>
  <c r="D39" i="18" s="1"/>
  <c r="C61" i="35"/>
  <c r="C39" i="18" s="1"/>
  <c r="B61" i="35"/>
  <c r="M60" i="35"/>
  <c r="L60" i="35"/>
  <c r="L38" i="18" s="1"/>
  <c r="K60" i="35"/>
  <c r="J60" i="35"/>
  <c r="J38" i="18" s="1"/>
  <c r="I60" i="35"/>
  <c r="I38" i="18" s="1"/>
  <c r="H60" i="35"/>
  <c r="H38" i="18" s="1"/>
  <c r="G60" i="35"/>
  <c r="F60" i="35"/>
  <c r="F38" i="18" s="1"/>
  <c r="E60" i="35"/>
  <c r="D60" i="35"/>
  <c r="D38" i="18" s="1"/>
  <c r="C60" i="35"/>
  <c r="B60" i="35"/>
  <c r="B38" i="18" s="1"/>
  <c r="M50" i="35"/>
  <c r="M52" i="35"/>
  <c r="L50" i="35"/>
  <c r="L52" i="35" s="1"/>
  <c r="K50" i="35"/>
  <c r="K52" i="35" s="1"/>
  <c r="J50" i="35"/>
  <c r="J52" i="35" s="1"/>
  <c r="I50" i="35"/>
  <c r="I52" i="35" s="1"/>
  <c r="H50" i="35"/>
  <c r="H52" i="35" s="1"/>
  <c r="G50" i="35"/>
  <c r="G52" i="35"/>
  <c r="F50" i="35"/>
  <c r="F52" i="35" s="1"/>
  <c r="E50" i="35"/>
  <c r="E52" i="35" s="1"/>
  <c r="D50" i="35"/>
  <c r="D52" i="35" s="1"/>
  <c r="C50" i="35"/>
  <c r="C52" i="35" s="1"/>
  <c r="B50" i="35"/>
  <c r="B52" i="35" s="1"/>
  <c r="N49" i="35"/>
  <c r="N48" i="35"/>
  <c r="N47" i="35"/>
  <c r="M39" i="35"/>
  <c r="M41" i="35" s="1"/>
  <c r="L39" i="35"/>
  <c r="L41" i="35" s="1"/>
  <c r="K39" i="35"/>
  <c r="K41" i="35" s="1"/>
  <c r="J39" i="35"/>
  <c r="J41" i="35" s="1"/>
  <c r="I39" i="35"/>
  <c r="I41" i="35"/>
  <c r="H39" i="35"/>
  <c r="H41" i="35" s="1"/>
  <c r="G39" i="35"/>
  <c r="G41" i="35" s="1"/>
  <c r="F39" i="35"/>
  <c r="F41" i="35" s="1"/>
  <c r="E39" i="35"/>
  <c r="E41" i="35" s="1"/>
  <c r="D39" i="35"/>
  <c r="D41" i="35" s="1"/>
  <c r="C39" i="35"/>
  <c r="C41" i="35" s="1"/>
  <c r="B39" i="35"/>
  <c r="N38" i="35"/>
  <c r="N37" i="35"/>
  <c r="N36" i="35"/>
  <c r="M28" i="35"/>
  <c r="M30" i="35" s="1"/>
  <c r="L28" i="35"/>
  <c r="L30" i="35" s="1"/>
  <c r="K28" i="35"/>
  <c r="K30" i="35" s="1"/>
  <c r="J28" i="35"/>
  <c r="J30" i="35" s="1"/>
  <c r="I28" i="35"/>
  <c r="I30" i="35" s="1"/>
  <c r="H28" i="35"/>
  <c r="H30" i="35"/>
  <c r="G28" i="35"/>
  <c r="G30" i="35" s="1"/>
  <c r="F28" i="35"/>
  <c r="F30" i="35" s="1"/>
  <c r="E28" i="35"/>
  <c r="E30" i="35" s="1"/>
  <c r="D28" i="35"/>
  <c r="D30" i="35" s="1"/>
  <c r="C28" i="35"/>
  <c r="C30" i="35" s="1"/>
  <c r="B28" i="35"/>
  <c r="B30" i="35" s="1"/>
  <c r="N27" i="35"/>
  <c r="N26" i="35"/>
  <c r="N25" i="35"/>
  <c r="M17" i="35"/>
  <c r="M19" i="35" s="1"/>
  <c r="L17" i="35"/>
  <c r="L19" i="35" s="1"/>
  <c r="K17" i="35"/>
  <c r="K19" i="35" s="1"/>
  <c r="J17" i="35"/>
  <c r="J19" i="35" s="1"/>
  <c r="I17" i="35"/>
  <c r="I19" i="35" s="1"/>
  <c r="H17" i="35"/>
  <c r="H19" i="35" s="1"/>
  <c r="G17" i="35"/>
  <c r="G19" i="35" s="1"/>
  <c r="F17" i="35"/>
  <c r="F19" i="35" s="1"/>
  <c r="E17" i="35"/>
  <c r="E19" i="35" s="1"/>
  <c r="D17" i="35"/>
  <c r="D19" i="35" s="1"/>
  <c r="C17" i="35"/>
  <c r="C19" i="35" s="1"/>
  <c r="B17" i="35"/>
  <c r="B19" i="35" s="1"/>
  <c r="N16" i="35"/>
  <c r="N15" i="35"/>
  <c r="N14" i="35"/>
  <c r="L61" i="34"/>
  <c r="L32" i="18" s="1"/>
  <c r="C62" i="34"/>
  <c r="C33" i="18" s="1"/>
  <c r="D62" i="34"/>
  <c r="D33" i="18" s="1"/>
  <c r="E62" i="34"/>
  <c r="E33" i="18" s="1"/>
  <c r="F62" i="34"/>
  <c r="F33" i="18" s="1"/>
  <c r="G62" i="34"/>
  <c r="G33" i="18" s="1"/>
  <c r="H62" i="34"/>
  <c r="H33" i="18" s="1"/>
  <c r="I62" i="34"/>
  <c r="I33" i="18" s="1"/>
  <c r="J62" i="34"/>
  <c r="J33" i="18" s="1"/>
  <c r="K62" i="34"/>
  <c r="K33" i="18" s="1"/>
  <c r="L62" i="34"/>
  <c r="L33" i="18" s="1"/>
  <c r="M62" i="34"/>
  <c r="M33" i="18" s="1"/>
  <c r="C61" i="34"/>
  <c r="C32" i="18" s="1"/>
  <c r="D61" i="34"/>
  <c r="D32" i="18" s="1"/>
  <c r="E61" i="34"/>
  <c r="E32" i="18" s="1"/>
  <c r="F61" i="34"/>
  <c r="F32" i="18" s="1"/>
  <c r="G61" i="34"/>
  <c r="G32" i="18" s="1"/>
  <c r="H61" i="34"/>
  <c r="H32" i="18" s="1"/>
  <c r="I61" i="34"/>
  <c r="I32" i="18" s="1"/>
  <c r="J61" i="34"/>
  <c r="J32" i="18" s="1"/>
  <c r="K61" i="34"/>
  <c r="K32" i="18" s="1"/>
  <c r="M61" i="34"/>
  <c r="M32" i="18" s="1"/>
  <c r="B61" i="34"/>
  <c r="B32" i="18" s="1"/>
  <c r="B62" i="34"/>
  <c r="B33" i="18" s="1"/>
  <c r="C62" i="33"/>
  <c r="C26" i="18" s="1"/>
  <c r="D62" i="33"/>
  <c r="D26" i="18" s="1"/>
  <c r="E62" i="33"/>
  <c r="E26" i="18" s="1"/>
  <c r="F62" i="33"/>
  <c r="F26" i="18" s="1"/>
  <c r="G62" i="33"/>
  <c r="G26" i="18" s="1"/>
  <c r="H62" i="33"/>
  <c r="H26" i="18" s="1"/>
  <c r="I62" i="33"/>
  <c r="I26" i="18" s="1"/>
  <c r="J62" i="33"/>
  <c r="J26" i="18" s="1"/>
  <c r="K62" i="33"/>
  <c r="K26" i="18" s="1"/>
  <c r="L62" i="33"/>
  <c r="L26" i="18" s="1"/>
  <c r="M62" i="33"/>
  <c r="M26" i="18" s="1"/>
  <c r="C61" i="33"/>
  <c r="C25" i="18" s="1"/>
  <c r="D61" i="33"/>
  <c r="D25" i="18" s="1"/>
  <c r="E61" i="33"/>
  <c r="E25" i="18" s="1"/>
  <c r="F61" i="33"/>
  <c r="F25" i="18" s="1"/>
  <c r="G61" i="33"/>
  <c r="G25" i="18" s="1"/>
  <c r="H61" i="33"/>
  <c r="H25" i="18"/>
  <c r="I61" i="33"/>
  <c r="I25" i="18" s="1"/>
  <c r="J61" i="33"/>
  <c r="J25" i="18" s="1"/>
  <c r="K61" i="33"/>
  <c r="K25" i="18" s="1"/>
  <c r="L61" i="33"/>
  <c r="L25" i="18" s="1"/>
  <c r="M61" i="33"/>
  <c r="M25" i="18" s="1"/>
  <c r="B62" i="33"/>
  <c r="B26" i="18" s="1"/>
  <c r="B61" i="33"/>
  <c r="B25" i="18" s="1"/>
  <c r="D62" i="4"/>
  <c r="D18" i="18" s="1"/>
  <c r="E62" i="4"/>
  <c r="E18" i="18" s="1"/>
  <c r="F62" i="4"/>
  <c r="F18" i="18" s="1"/>
  <c r="G62" i="4"/>
  <c r="G18" i="18" s="1"/>
  <c r="H62" i="4"/>
  <c r="H18" i="18" s="1"/>
  <c r="I62" i="4"/>
  <c r="I18" i="18" s="1"/>
  <c r="J62" i="4"/>
  <c r="J18" i="18" s="1"/>
  <c r="K62" i="4"/>
  <c r="K18" i="18" s="1"/>
  <c r="L62" i="4"/>
  <c r="L18" i="18" s="1"/>
  <c r="M62" i="4"/>
  <c r="M18" i="18" s="1"/>
  <c r="E61" i="4"/>
  <c r="E17" i="18" s="1"/>
  <c r="F61" i="4"/>
  <c r="F17" i="18" s="1"/>
  <c r="G61" i="4"/>
  <c r="G17" i="18" s="1"/>
  <c r="H61" i="4"/>
  <c r="H17" i="18" s="1"/>
  <c r="I61" i="4"/>
  <c r="I17" i="18" s="1"/>
  <c r="J61" i="4"/>
  <c r="J17" i="18" s="1"/>
  <c r="K61" i="4"/>
  <c r="K17" i="18" s="1"/>
  <c r="L61" i="4"/>
  <c r="L17" i="18" s="1"/>
  <c r="M61" i="4"/>
  <c r="M17" i="18" s="1"/>
  <c r="D61" i="4"/>
  <c r="D17" i="18" s="1"/>
  <c r="C62" i="4"/>
  <c r="C18" i="18" s="1"/>
  <c r="C61" i="4"/>
  <c r="C17" i="18" s="1"/>
  <c r="B62" i="4"/>
  <c r="B18" i="18" s="1"/>
  <c r="M60" i="34"/>
  <c r="M31" i="18" s="1"/>
  <c r="M34" i="18" s="1"/>
  <c r="L60" i="34"/>
  <c r="L31" i="18" s="1"/>
  <c r="K60" i="34"/>
  <c r="J60" i="34"/>
  <c r="J31" i="18" s="1"/>
  <c r="I60" i="34"/>
  <c r="I31" i="18" s="1"/>
  <c r="H60" i="34"/>
  <c r="G60" i="34"/>
  <c r="G31" i="18" s="1"/>
  <c r="F60" i="34"/>
  <c r="F31" i="18" s="1"/>
  <c r="E60" i="34"/>
  <c r="E31" i="18" s="1"/>
  <c r="D60" i="34"/>
  <c r="D31" i="18" s="1"/>
  <c r="C60" i="34"/>
  <c r="B60" i="34"/>
  <c r="B31" i="18" s="1"/>
  <c r="M50" i="34"/>
  <c r="M52" i="34" s="1"/>
  <c r="L50" i="34"/>
  <c r="L52" i="34" s="1"/>
  <c r="K50" i="34"/>
  <c r="K52" i="34" s="1"/>
  <c r="J50" i="34"/>
  <c r="J52" i="34" s="1"/>
  <c r="I50" i="34"/>
  <c r="I52" i="34" s="1"/>
  <c r="H50" i="34"/>
  <c r="H52" i="34" s="1"/>
  <c r="G50" i="34"/>
  <c r="G52" i="34" s="1"/>
  <c r="F50" i="34"/>
  <c r="F52" i="34" s="1"/>
  <c r="E50" i="34"/>
  <c r="E52" i="34" s="1"/>
  <c r="D50" i="34"/>
  <c r="D52" i="34" s="1"/>
  <c r="C50" i="34"/>
  <c r="C52" i="34" s="1"/>
  <c r="B50" i="34"/>
  <c r="B52" i="34" s="1"/>
  <c r="N49" i="34"/>
  <c r="N48" i="34"/>
  <c r="N47" i="34"/>
  <c r="M39" i="34"/>
  <c r="M41" i="34" s="1"/>
  <c r="L39" i="34"/>
  <c r="L41" i="34" s="1"/>
  <c r="J39" i="34"/>
  <c r="K39" i="34" s="1"/>
  <c r="K41" i="34" s="1"/>
  <c r="I39" i="34"/>
  <c r="I41" i="34" s="1"/>
  <c r="H39" i="34"/>
  <c r="H41" i="34" s="1"/>
  <c r="G39" i="34"/>
  <c r="G41" i="34" s="1"/>
  <c r="F39" i="34"/>
  <c r="F41" i="34" s="1"/>
  <c r="E39" i="34"/>
  <c r="E41" i="34" s="1"/>
  <c r="D39" i="34"/>
  <c r="D41" i="34" s="1"/>
  <c r="C39" i="34"/>
  <c r="C41" i="34" s="1"/>
  <c r="B39" i="34"/>
  <c r="B41" i="34" s="1"/>
  <c r="N38" i="34"/>
  <c r="N37" i="34"/>
  <c r="N36" i="34"/>
  <c r="M28" i="34"/>
  <c r="M30" i="34"/>
  <c r="L28" i="34"/>
  <c r="L30" i="34" s="1"/>
  <c r="K28" i="34"/>
  <c r="K30" i="34" s="1"/>
  <c r="J28" i="34"/>
  <c r="J30" i="34" s="1"/>
  <c r="I28" i="34"/>
  <c r="I30" i="34" s="1"/>
  <c r="H28" i="34"/>
  <c r="H30" i="34" s="1"/>
  <c r="G28" i="34"/>
  <c r="G30" i="34" s="1"/>
  <c r="F28" i="34"/>
  <c r="F30" i="34" s="1"/>
  <c r="E28" i="34"/>
  <c r="E30" i="34" s="1"/>
  <c r="D28" i="34"/>
  <c r="D30" i="34" s="1"/>
  <c r="C28" i="34"/>
  <c r="C30" i="34" s="1"/>
  <c r="B28" i="34"/>
  <c r="B30" i="34" s="1"/>
  <c r="N27" i="34"/>
  <c r="N26" i="34"/>
  <c r="N25" i="34"/>
  <c r="M17" i="34"/>
  <c r="M19" i="34" s="1"/>
  <c r="L17" i="34"/>
  <c r="L19" i="34" s="1"/>
  <c r="K17" i="34"/>
  <c r="K19" i="34" s="1"/>
  <c r="J17" i="34"/>
  <c r="J19" i="34" s="1"/>
  <c r="I17" i="34"/>
  <c r="I19" i="34" s="1"/>
  <c r="H17" i="34"/>
  <c r="H19" i="34"/>
  <c r="G17" i="34"/>
  <c r="G19" i="34" s="1"/>
  <c r="F17" i="34"/>
  <c r="F19" i="34" s="1"/>
  <c r="E17" i="34"/>
  <c r="E19" i="34" s="1"/>
  <c r="D17" i="34"/>
  <c r="D19" i="34" s="1"/>
  <c r="C17" i="34"/>
  <c r="C19" i="34" s="1"/>
  <c r="B17" i="34"/>
  <c r="B19" i="34" s="1"/>
  <c r="N16" i="34"/>
  <c r="N15" i="34"/>
  <c r="N14" i="34"/>
  <c r="M60" i="33"/>
  <c r="M24" i="18" s="1"/>
  <c r="L60" i="33"/>
  <c r="L24" i="18" s="1"/>
  <c r="K60" i="33"/>
  <c r="K24" i="18" s="1"/>
  <c r="J60" i="33"/>
  <c r="J24" i="18" s="1"/>
  <c r="I60" i="33"/>
  <c r="I24" i="18" s="1"/>
  <c r="H60" i="33"/>
  <c r="H24" i="18" s="1"/>
  <c r="G60" i="33"/>
  <c r="G24" i="18" s="1"/>
  <c r="F60" i="33"/>
  <c r="F24" i="18" s="1"/>
  <c r="E60" i="33"/>
  <c r="E24" i="18" s="1"/>
  <c r="D60" i="33"/>
  <c r="D24" i="18" s="1"/>
  <c r="C60" i="33"/>
  <c r="C24" i="18" s="1"/>
  <c r="M50" i="33"/>
  <c r="M52" i="33"/>
  <c r="L50" i="33"/>
  <c r="L52" i="33" s="1"/>
  <c r="K50" i="33"/>
  <c r="K52" i="33" s="1"/>
  <c r="J50" i="33"/>
  <c r="J52" i="33" s="1"/>
  <c r="I50" i="33"/>
  <c r="I52" i="33" s="1"/>
  <c r="H50" i="33"/>
  <c r="H52" i="33" s="1"/>
  <c r="G50" i="33"/>
  <c r="G52" i="33" s="1"/>
  <c r="F50" i="33"/>
  <c r="F52" i="33" s="1"/>
  <c r="E50" i="33"/>
  <c r="E52" i="33" s="1"/>
  <c r="D50" i="33"/>
  <c r="D52" i="33" s="1"/>
  <c r="C50" i="33"/>
  <c r="C52" i="33" s="1"/>
  <c r="B50" i="33"/>
  <c r="B52" i="33" s="1"/>
  <c r="N49" i="33"/>
  <c r="N48" i="33"/>
  <c r="N47" i="33"/>
  <c r="M39" i="33"/>
  <c r="M41" i="33" s="1"/>
  <c r="L39" i="33"/>
  <c r="L41" i="33" s="1"/>
  <c r="K39" i="33"/>
  <c r="K41" i="33" s="1"/>
  <c r="J39" i="33"/>
  <c r="J41" i="33" s="1"/>
  <c r="I39" i="33"/>
  <c r="I41" i="33" s="1"/>
  <c r="H39" i="33"/>
  <c r="H41" i="33" s="1"/>
  <c r="G39" i="33"/>
  <c r="G41" i="33" s="1"/>
  <c r="F39" i="33"/>
  <c r="F41" i="33" s="1"/>
  <c r="E39" i="33"/>
  <c r="E41" i="33" s="1"/>
  <c r="D39" i="33"/>
  <c r="D41" i="33" s="1"/>
  <c r="C39" i="33"/>
  <c r="C41" i="33" s="1"/>
  <c r="B39" i="33"/>
  <c r="B41" i="33" s="1"/>
  <c r="N38" i="33"/>
  <c r="N37" i="33"/>
  <c r="N36" i="33"/>
  <c r="M28" i="33"/>
  <c r="M30" i="33"/>
  <c r="L28" i="33"/>
  <c r="L30" i="33" s="1"/>
  <c r="K28" i="33"/>
  <c r="K30" i="33" s="1"/>
  <c r="J28" i="33"/>
  <c r="J30" i="33" s="1"/>
  <c r="I28" i="33"/>
  <c r="I30" i="33" s="1"/>
  <c r="H28" i="33"/>
  <c r="H30" i="33" s="1"/>
  <c r="G28" i="33"/>
  <c r="G30" i="33" s="1"/>
  <c r="F28" i="33"/>
  <c r="F30" i="33" s="1"/>
  <c r="E28" i="33"/>
  <c r="E30" i="33" s="1"/>
  <c r="D28" i="33"/>
  <c r="D30" i="33" s="1"/>
  <c r="C28" i="33"/>
  <c r="C30" i="33" s="1"/>
  <c r="B28" i="33"/>
  <c r="B30" i="33" s="1"/>
  <c r="N27" i="33"/>
  <c r="N26" i="33"/>
  <c r="N25" i="33"/>
  <c r="J19" i="33"/>
  <c r="G19" i="33"/>
  <c r="F19" i="33"/>
  <c r="C19" i="33"/>
  <c r="N16" i="33"/>
  <c r="N15" i="33"/>
  <c r="N14" i="33"/>
  <c r="N49" i="4"/>
  <c r="N48" i="4"/>
  <c r="N38" i="4"/>
  <c r="N37" i="4"/>
  <c r="N27" i="4"/>
  <c r="N26" i="4"/>
  <c r="N15" i="4"/>
  <c r="N16" i="4"/>
  <c r="B61" i="18"/>
  <c r="L59" i="18"/>
  <c r="I59" i="18"/>
  <c r="H59" i="18"/>
  <c r="G63" i="38"/>
  <c r="G65" i="38" s="1"/>
  <c r="G59" i="18"/>
  <c r="D59" i="18"/>
  <c r="I63" i="37"/>
  <c r="I65" i="37" s="1"/>
  <c r="M63" i="37"/>
  <c r="M65" i="37" s="1"/>
  <c r="M52" i="18"/>
  <c r="M55" i="18"/>
  <c r="B54" i="18"/>
  <c r="K52" i="18"/>
  <c r="B52" i="18"/>
  <c r="M63" i="36"/>
  <c r="M65" i="36" s="1"/>
  <c r="M45" i="18"/>
  <c r="M48" i="18"/>
  <c r="B46" i="18"/>
  <c r="K45" i="18"/>
  <c r="I45" i="18"/>
  <c r="G45" i="18"/>
  <c r="C63" i="36"/>
  <c r="C65" i="36" s="1"/>
  <c r="C45" i="18"/>
  <c r="M38" i="18"/>
  <c r="M41" i="18" s="1"/>
  <c r="K38" i="18"/>
  <c r="K41" i="18" s="1"/>
  <c r="G63" i="35"/>
  <c r="G65" i="35" s="1"/>
  <c r="G38" i="18"/>
  <c r="E38" i="18"/>
  <c r="C38" i="18"/>
  <c r="C41" i="18" s="1"/>
  <c r="M63" i="33"/>
  <c r="M65" i="33" s="1"/>
  <c r="B19" i="33"/>
  <c r="B24" i="18"/>
  <c r="B52" i="37"/>
  <c r="N47" i="4"/>
  <c r="G16" i="18"/>
  <c r="H16" i="18"/>
  <c r="K16" i="18"/>
  <c r="M16" i="18"/>
  <c r="M50" i="4"/>
  <c r="M52" i="4"/>
  <c r="L50" i="4"/>
  <c r="L52" i="4" s="1"/>
  <c r="K50" i="4"/>
  <c r="K52" i="4" s="1"/>
  <c r="J50" i="4"/>
  <c r="J52" i="4" s="1"/>
  <c r="I50" i="4"/>
  <c r="I52" i="4" s="1"/>
  <c r="H50" i="4"/>
  <c r="H52" i="4" s="1"/>
  <c r="G50" i="4"/>
  <c r="G52" i="4" s="1"/>
  <c r="F50" i="4"/>
  <c r="F52" i="4" s="1"/>
  <c r="E50" i="4"/>
  <c r="E52" i="4" s="1"/>
  <c r="D50" i="4"/>
  <c r="D52" i="4" s="1"/>
  <c r="C50" i="4"/>
  <c r="C52" i="4" s="1"/>
  <c r="B50" i="4"/>
  <c r="B52" i="4" s="1"/>
  <c r="M39" i="4"/>
  <c r="M41" i="4" s="1"/>
  <c r="L39" i="4"/>
  <c r="L41" i="4" s="1"/>
  <c r="K39" i="4"/>
  <c r="K41" i="4" s="1"/>
  <c r="J39" i="4"/>
  <c r="J41" i="4" s="1"/>
  <c r="I39" i="4"/>
  <c r="I41" i="4" s="1"/>
  <c r="H39" i="4"/>
  <c r="H41" i="4" s="1"/>
  <c r="G39" i="4"/>
  <c r="G41" i="4"/>
  <c r="F39" i="4"/>
  <c r="F41" i="4" s="1"/>
  <c r="E39" i="4"/>
  <c r="E41" i="4" s="1"/>
  <c r="D39" i="4"/>
  <c r="D41" i="4" s="1"/>
  <c r="C39" i="4"/>
  <c r="C41" i="4" s="1"/>
  <c r="B39" i="4"/>
  <c r="B41" i="4" s="1"/>
  <c r="N36" i="4"/>
  <c r="N25" i="4"/>
  <c r="M63" i="4"/>
  <c r="M65" i="4" s="1"/>
  <c r="N62" i="43" l="1"/>
  <c r="N96" i="18" s="1"/>
  <c r="N50" i="43"/>
  <c r="I63" i="43"/>
  <c r="I65" i="43" s="1"/>
  <c r="N39" i="43"/>
  <c r="D63" i="43"/>
  <c r="D65" i="43" s="1"/>
  <c r="F63" i="43"/>
  <c r="F65" i="43" s="1"/>
  <c r="E63" i="43"/>
  <c r="E65" i="43" s="1"/>
  <c r="B63" i="43"/>
  <c r="B65" i="43" s="1"/>
  <c r="M97" i="18"/>
  <c r="L97" i="18"/>
  <c r="K97" i="18"/>
  <c r="J63" i="43"/>
  <c r="J65" i="43" s="1"/>
  <c r="H97" i="18"/>
  <c r="G97" i="18"/>
  <c r="N61" i="43"/>
  <c r="N95" i="18" s="1"/>
  <c r="E97" i="18"/>
  <c r="D97" i="18"/>
  <c r="C97" i="18"/>
  <c r="I94" i="18"/>
  <c r="I97" i="18" s="1"/>
  <c r="N52" i="43"/>
  <c r="F94" i="18"/>
  <c r="F97" i="18" s="1"/>
  <c r="N41" i="43"/>
  <c r="B94" i="18"/>
  <c r="B97" i="18" s="1"/>
  <c r="C63" i="43"/>
  <c r="C65" i="43" s="1"/>
  <c r="N19" i="43"/>
  <c r="N17" i="43"/>
  <c r="J90" i="18"/>
  <c r="B90" i="18"/>
  <c r="H63" i="40"/>
  <c r="H65" i="40" s="1"/>
  <c r="M63" i="38"/>
  <c r="M65" i="38" s="1"/>
  <c r="G63" i="37"/>
  <c r="G65" i="37" s="1"/>
  <c r="G52" i="18"/>
  <c r="G41" i="18"/>
  <c r="H63" i="34"/>
  <c r="H65" i="34" s="1"/>
  <c r="G34" i="18"/>
  <c r="G63" i="34"/>
  <c r="G65" i="34" s="1"/>
  <c r="M105" i="18"/>
  <c r="N50" i="42"/>
  <c r="F90" i="18"/>
  <c r="N52" i="42"/>
  <c r="N39" i="42"/>
  <c r="N41" i="42"/>
  <c r="M90" i="18"/>
  <c r="F63" i="42"/>
  <c r="F65" i="42" s="1"/>
  <c r="E63" i="42"/>
  <c r="E65" i="42" s="1"/>
  <c r="E87" i="18"/>
  <c r="E90" i="18" s="1"/>
  <c r="N28" i="42"/>
  <c r="N30" i="42"/>
  <c r="B63" i="42"/>
  <c r="B65" i="42" s="1"/>
  <c r="D90" i="18"/>
  <c r="I63" i="42"/>
  <c r="I65" i="42" s="1"/>
  <c r="I90" i="18"/>
  <c r="H63" i="42"/>
  <c r="H65" i="42" s="1"/>
  <c r="H90" i="18"/>
  <c r="D63" i="42"/>
  <c r="D65" i="42" s="1"/>
  <c r="N19" i="42"/>
  <c r="N17" i="42"/>
  <c r="N52" i="41"/>
  <c r="N50" i="41"/>
  <c r="G63" i="41"/>
  <c r="G65" i="41" s="1"/>
  <c r="D63" i="41"/>
  <c r="D65" i="41" s="1"/>
  <c r="G83" i="18"/>
  <c r="E83" i="18"/>
  <c r="N30" i="41"/>
  <c r="N28" i="41"/>
  <c r="L63" i="41"/>
  <c r="L65" i="41" s="1"/>
  <c r="I63" i="41"/>
  <c r="I65" i="41" s="1"/>
  <c r="E63" i="41"/>
  <c r="E65" i="41" s="1"/>
  <c r="L83" i="18"/>
  <c r="J83" i="18"/>
  <c r="F83" i="18"/>
  <c r="N61" i="41"/>
  <c r="N81" i="18" s="1"/>
  <c r="C83" i="18"/>
  <c r="B63" i="41"/>
  <c r="B65" i="41" s="1"/>
  <c r="J63" i="41"/>
  <c r="J65" i="41" s="1"/>
  <c r="N17" i="41"/>
  <c r="F63" i="41"/>
  <c r="F65" i="41" s="1"/>
  <c r="N60" i="41"/>
  <c r="N80" i="18" s="1"/>
  <c r="C63" i="41"/>
  <c r="C65" i="41" s="1"/>
  <c r="B83" i="18"/>
  <c r="N19" i="41"/>
  <c r="N50" i="40"/>
  <c r="N52" i="40"/>
  <c r="N39" i="40"/>
  <c r="K63" i="40"/>
  <c r="K65" i="40" s="1"/>
  <c r="C63" i="40"/>
  <c r="C65" i="40" s="1"/>
  <c r="B76" i="18"/>
  <c r="E76" i="18"/>
  <c r="K73" i="18"/>
  <c r="K76" i="18" s="1"/>
  <c r="N28" i="40"/>
  <c r="H76" i="18"/>
  <c r="E63" i="40"/>
  <c r="E65" i="40" s="1"/>
  <c r="N30" i="40"/>
  <c r="N62" i="40"/>
  <c r="N75" i="18" s="1"/>
  <c r="F63" i="40"/>
  <c r="F65" i="40" s="1"/>
  <c r="N61" i="40"/>
  <c r="N74" i="18" s="1"/>
  <c r="C76" i="18"/>
  <c r="N60" i="40"/>
  <c r="N73" i="18" s="1"/>
  <c r="I76" i="18"/>
  <c r="I63" i="40"/>
  <c r="I65" i="40" s="1"/>
  <c r="F76" i="18"/>
  <c r="M63" i="39"/>
  <c r="M65" i="39" s="1"/>
  <c r="N50" i="39"/>
  <c r="N52" i="39"/>
  <c r="H63" i="39"/>
  <c r="H65" i="39" s="1"/>
  <c r="H69" i="18"/>
  <c r="J63" i="39"/>
  <c r="J65" i="39" s="1"/>
  <c r="E63" i="39"/>
  <c r="E65" i="39" s="1"/>
  <c r="J66" i="18"/>
  <c r="J69" i="18" s="1"/>
  <c r="F69" i="18"/>
  <c r="F63" i="39"/>
  <c r="F65" i="39" s="1"/>
  <c r="N60" i="39"/>
  <c r="N66" i="18" s="1"/>
  <c r="E66" i="18"/>
  <c r="E69" i="18" s="1"/>
  <c r="N17" i="39"/>
  <c r="B19" i="39"/>
  <c r="N19" i="39" s="1"/>
  <c r="I62" i="18"/>
  <c r="H63" i="38"/>
  <c r="H65" i="38" s="1"/>
  <c r="I63" i="38"/>
  <c r="I65" i="38" s="1"/>
  <c r="N39" i="38"/>
  <c r="N41" i="38"/>
  <c r="K63" i="38"/>
  <c r="K65" i="38" s="1"/>
  <c r="F63" i="38"/>
  <c r="F65" i="38" s="1"/>
  <c r="E63" i="38"/>
  <c r="E65" i="38" s="1"/>
  <c r="N60" i="38"/>
  <c r="N59" i="18" s="1"/>
  <c r="N28" i="38"/>
  <c r="N30" i="38"/>
  <c r="M62" i="18"/>
  <c r="L63" i="38"/>
  <c r="L65" i="38" s="1"/>
  <c r="E62" i="18"/>
  <c r="L62" i="18"/>
  <c r="K62" i="18"/>
  <c r="J59" i="18"/>
  <c r="J62" i="18" s="1"/>
  <c r="H62" i="18"/>
  <c r="F59" i="18"/>
  <c r="F62" i="18" s="1"/>
  <c r="N19" i="38"/>
  <c r="B62" i="18"/>
  <c r="H63" i="37"/>
  <c r="H65" i="37" s="1"/>
  <c r="H52" i="18"/>
  <c r="G55" i="18"/>
  <c r="F63" i="37"/>
  <c r="F65" i="37" s="1"/>
  <c r="N30" i="37"/>
  <c r="K55" i="18"/>
  <c r="K63" i="37"/>
  <c r="K65" i="37" s="1"/>
  <c r="I55" i="18"/>
  <c r="N62" i="37"/>
  <c r="N54" i="18" s="1"/>
  <c r="B55" i="18"/>
  <c r="J63" i="37"/>
  <c r="J65" i="37" s="1"/>
  <c r="D63" i="37"/>
  <c r="D65" i="37" s="1"/>
  <c r="H55" i="18"/>
  <c r="E63" i="37"/>
  <c r="E65" i="37" s="1"/>
  <c r="D55" i="18"/>
  <c r="C55" i="18"/>
  <c r="B63" i="37"/>
  <c r="B65" i="37" s="1"/>
  <c r="N60" i="37"/>
  <c r="N52" i="18" s="1"/>
  <c r="N39" i="36"/>
  <c r="N41" i="36"/>
  <c r="G48" i="18"/>
  <c r="E63" i="36"/>
  <c r="E65" i="36" s="1"/>
  <c r="B48" i="18"/>
  <c r="N62" i="36"/>
  <c r="N47" i="18" s="1"/>
  <c r="I63" i="36"/>
  <c r="I65" i="36" s="1"/>
  <c r="I48" i="18"/>
  <c r="E48" i="18"/>
  <c r="D63" i="36"/>
  <c r="D65" i="36" s="1"/>
  <c r="C48" i="18"/>
  <c r="G63" i="36"/>
  <c r="G65" i="36" s="1"/>
  <c r="D48" i="18"/>
  <c r="H63" i="36"/>
  <c r="H65" i="36" s="1"/>
  <c r="N60" i="36"/>
  <c r="N45" i="18" s="1"/>
  <c r="I63" i="35"/>
  <c r="I65" i="35" s="1"/>
  <c r="N50" i="35"/>
  <c r="I41" i="18"/>
  <c r="L63" i="35"/>
  <c r="L65" i="35" s="1"/>
  <c r="H63" i="35"/>
  <c r="H65" i="35" s="1"/>
  <c r="H41" i="18"/>
  <c r="N62" i="35"/>
  <c r="N40" i="18" s="1"/>
  <c r="N28" i="35"/>
  <c r="N30" i="35"/>
  <c r="B63" i="35"/>
  <c r="B65" i="35" s="1"/>
  <c r="L41" i="18"/>
  <c r="J63" i="35"/>
  <c r="J65" i="35" s="1"/>
  <c r="E41" i="18"/>
  <c r="B39" i="18"/>
  <c r="F63" i="35"/>
  <c r="F65" i="35" s="1"/>
  <c r="F41" i="18"/>
  <c r="D41" i="18"/>
  <c r="D63" i="35"/>
  <c r="D65" i="35" s="1"/>
  <c r="J41" i="18"/>
  <c r="N60" i="35"/>
  <c r="N38" i="18" s="1"/>
  <c r="N17" i="35"/>
  <c r="B41" i="18"/>
  <c r="N19" i="35"/>
  <c r="N52" i="34"/>
  <c r="N50" i="34"/>
  <c r="C63" i="34"/>
  <c r="C65" i="34" s="1"/>
  <c r="K63" i="34"/>
  <c r="K65" i="34" s="1"/>
  <c r="J41" i="34"/>
  <c r="N41" i="34" s="1"/>
  <c r="M63" i="34"/>
  <c r="M65" i="34" s="1"/>
  <c r="J63" i="34"/>
  <c r="J65" i="34" s="1"/>
  <c r="E63" i="34"/>
  <c r="E65" i="34" s="1"/>
  <c r="B63" i="34"/>
  <c r="B65" i="34" s="1"/>
  <c r="J34" i="18"/>
  <c r="C31" i="18"/>
  <c r="C34" i="18" s="1"/>
  <c r="N28" i="34"/>
  <c r="N30" i="34"/>
  <c r="L34" i="18"/>
  <c r="I63" i="34"/>
  <c r="I65" i="34" s="1"/>
  <c r="D34" i="18"/>
  <c r="B34" i="18"/>
  <c r="N62" i="34"/>
  <c r="N33" i="18" s="1"/>
  <c r="L63" i="34"/>
  <c r="L65" i="34" s="1"/>
  <c r="J105" i="18"/>
  <c r="I34" i="18"/>
  <c r="F63" i="34"/>
  <c r="F65" i="34" s="1"/>
  <c r="E34" i="18"/>
  <c r="N61" i="34"/>
  <c r="N32" i="18" s="1"/>
  <c r="D63" i="34"/>
  <c r="D65" i="34" s="1"/>
  <c r="K31" i="18"/>
  <c r="K34" i="18" s="1"/>
  <c r="H31" i="18"/>
  <c r="H34" i="18" s="1"/>
  <c r="F34" i="18"/>
  <c r="N17" i="34"/>
  <c r="N19" i="34"/>
  <c r="N50" i="33"/>
  <c r="N52" i="33"/>
  <c r="M106" i="18"/>
  <c r="M27" i="18"/>
  <c r="H27" i="18"/>
  <c r="B63" i="33"/>
  <c r="B65" i="33" s="1"/>
  <c r="H63" i="33"/>
  <c r="H65" i="33" s="1"/>
  <c r="N39" i="33"/>
  <c r="N41" i="33"/>
  <c r="G63" i="33"/>
  <c r="G65" i="33" s="1"/>
  <c r="I105" i="18"/>
  <c r="D63" i="33"/>
  <c r="D65" i="33" s="1"/>
  <c r="H104" i="18"/>
  <c r="N28" i="33"/>
  <c r="L63" i="33"/>
  <c r="L65" i="33" s="1"/>
  <c r="K27" i="18"/>
  <c r="I27" i="18"/>
  <c r="G27" i="18"/>
  <c r="N62" i="33"/>
  <c r="E106" i="18"/>
  <c r="C27" i="18"/>
  <c r="N61" i="33"/>
  <c r="F63" i="33"/>
  <c r="F65" i="33" s="1"/>
  <c r="E27" i="18"/>
  <c r="N17" i="33"/>
  <c r="J63" i="33"/>
  <c r="J65" i="33" s="1"/>
  <c r="F27" i="18"/>
  <c r="E63" i="33"/>
  <c r="E65" i="33" s="1"/>
  <c r="N19" i="33"/>
  <c r="B27" i="18"/>
  <c r="B104" i="18"/>
  <c r="F63" i="4"/>
  <c r="F65" i="4" s="1"/>
  <c r="N50" i="4"/>
  <c r="L63" i="4"/>
  <c r="L65" i="4" s="1"/>
  <c r="D19" i="18"/>
  <c r="N61" i="4"/>
  <c r="N17" i="18" s="1"/>
  <c r="H63" i="4"/>
  <c r="H65" i="4" s="1"/>
  <c r="G19" i="18"/>
  <c r="B63" i="4"/>
  <c r="B65" i="4" s="1"/>
  <c r="N30" i="4"/>
  <c r="N28" i="4"/>
  <c r="M19" i="18"/>
  <c r="K63" i="4"/>
  <c r="K65" i="4" s="1"/>
  <c r="J63" i="4"/>
  <c r="J65" i="4" s="1"/>
  <c r="N62" i="4"/>
  <c r="N18" i="18" s="1"/>
  <c r="E63" i="4"/>
  <c r="E65" i="4" s="1"/>
  <c r="B106" i="18"/>
  <c r="L19" i="18"/>
  <c r="G63" i="4"/>
  <c r="G65" i="4" s="1"/>
  <c r="E105" i="18"/>
  <c r="N17" i="4"/>
  <c r="D105" i="18"/>
  <c r="D63" i="4"/>
  <c r="D65" i="4" s="1"/>
  <c r="J16" i="18"/>
  <c r="J19" i="18" s="1"/>
  <c r="I63" i="4"/>
  <c r="I65" i="4" s="1"/>
  <c r="H19" i="18"/>
  <c r="C19" i="18"/>
  <c r="C63" i="4"/>
  <c r="C65" i="4" s="1"/>
  <c r="N19" i="4"/>
  <c r="N60" i="4"/>
  <c r="N16" i="18" s="1"/>
  <c r="N52" i="4"/>
  <c r="N41" i="4"/>
  <c r="K46" i="18"/>
  <c r="K48" i="18" s="1"/>
  <c r="K63" i="36"/>
  <c r="K65" i="36" s="1"/>
  <c r="J47" i="18"/>
  <c r="J106" i="18" s="1"/>
  <c r="J63" i="36"/>
  <c r="J65" i="36" s="1"/>
  <c r="B41" i="37"/>
  <c r="N41" i="37" s="1"/>
  <c r="N39" i="37"/>
  <c r="B63" i="38"/>
  <c r="N62" i="38"/>
  <c r="N61" i="18" s="1"/>
  <c r="N39" i="39"/>
  <c r="C41" i="39"/>
  <c r="N41" i="39" s="1"/>
  <c r="E41" i="41"/>
  <c r="N41" i="41" s="1"/>
  <c r="N39" i="41"/>
  <c r="C88" i="18"/>
  <c r="C90" i="18" s="1"/>
  <c r="C63" i="42"/>
  <c r="N61" i="42"/>
  <c r="N88" i="18" s="1"/>
  <c r="G65" i="43"/>
  <c r="I104" i="18"/>
  <c r="N17" i="37"/>
  <c r="B63" i="36"/>
  <c r="F55" i="18"/>
  <c r="N30" i="33"/>
  <c r="D27" i="18"/>
  <c r="L27" i="18"/>
  <c r="N19" i="36"/>
  <c r="L63" i="37"/>
  <c r="L65" i="37" s="1"/>
  <c r="L52" i="18"/>
  <c r="I52" i="38"/>
  <c r="N52" i="38" s="1"/>
  <c r="N50" i="38"/>
  <c r="B30" i="39"/>
  <c r="N30" i="39" s="1"/>
  <c r="N28" i="39"/>
  <c r="L67" i="18"/>
  <c r="L63" i="39"/>
  <c r="L65" i="39" s="1"/>
  <c r="N61" i="39"/>
  <c r="N67" i="18" s="1"/>
  <c r="E19" i="18"/>
  <c r="N60" i="34"/>
  <c r="N31" i="18" s="1"/>
  <c r="K63" i="33"/>
  <c r="K65" i="33" s="1"/>
  <c r="C63" i="33"/>
  <c r="C65" i="33" s="1"/>
  <c r="N61" i="35"/>
  <c r="N39" i="18" s="1"/>
  <c r="M63" i="35"/>
  <c r="M65" i="35" s="1"/>
  <c r="N61" i="36"/>
  <c r="N46" i="18" s="1"/>
  <c r="H48" i="18"/>
  <c r="C63" i="37"/>
  <c r="J55" i="18"/>
  <c r="N61" i="37"/>
  <c r="N53" i="18" s="1"/>
  <c r="J63" i="38"/>
  <c r="J65" i="38" s="1"/>
  <c r="F105" i="18"/>
  <c r="G106" i="18"/>
  <c r="N52" i="35"/>
  <c r="F47" i="18"/>
  <c r="F63" i="36"/>
  <c r="F65" i="36" s="1"/>
  <c r="N19" i="37"/>
  <c r="C52" i="37"/>
  <c r="N52" i="37" s="1"/>
  <c r="N50" i="37"/>
  <c r="C60" i="18"/>
  <c r="C62" i="18" s="1"/>
  <c r="N61" i="38"/>
  <c r="N60" i="18" s="1"/>
  <c r="C63" i="38"/>
  <c r="C65" i="38" s="1"/>
  <c r="L87" i="18"/>
  <c r="L90" i="18" s="1"/>
  <c r="L63" i="42"/>
  <c r="L65" i="42" s="1"/>
  <c r="N60" i="42"/>
  <c r="N87" i="18" s="1"/>
  <c r="G88" i="18"/>
  <c r="G105" i="18" s="1"/>
  <c r="G63" i="42"/>
  <c r="G65" i="42" s="1"/>
  <c r="K88" i="18"/>
  <c r="K90" i="18" s="1"/>
  <c r="K63" i="42"/>
  <c r="K65" i="42" s="1"/>
  <c r="E30" i="43"/>
  <c r="N30" i="43" s="1"/>
  <c r="N28" i="43"/>
  <c r="J94" i="18"/>
  <c r="J97" i="18" s="1"/>
  <c r="N60" i="43"/>
  <c r="N94" i="18" s="1"/>
  <c r="K19" i="18"/>
  <c r="B41" i="35"/>
  <c r="N41" i="35" s="1"/>
  <c r="N39" i="35"/>
  <c r="C68" i="18"/>
  <c r="C69" i="18" s="1"/>
  <c r="C63" i="39"/>
  <c r="C65" i="39" s="1"/>
  <c r="N62" i="39"/>
  <c r="N68" i="18" s="1"/>
  <c r="I68" i="18"/>
  <c r="I106" i="18" s="1"/>
  <c r="I63" i="39"/>
  <c r="I65" i="39" s="1"/>
  <c r="I19" i="18"/>
  <c r="N39" i="4"/>
  <c r="B19" i="18"/>
  <c r="F19" i="18"/>
  <c r="N39" i="34"/>
  <c r="N17" i="36"/>
  <c r="N60" i="33"/>
  <c r="I63" i="33"/>
  <c r="I65" i="33" s="1"/>
  <c r="C63" i="35"/>
  <c r="C65" i="35" s="1"/>
  <c r="E63" i="35"/>
  <c r="E65" i="35" s="1"/>
  <c r="K63" i="35"/>
  <c r="K65" i="35" s="1"/>
  <c r="E52" i="18"/>
  <c r="E55" i="18" s="1"/>
  <c r="N28" i="37"/>
  <c r="H105" i="18"/>
  <c r="J27" i="18"/>
  <c r="C30" i="36"/>
  <c r="N30" i="36" s="1"/>
  <c r="N28" i="36"/>
  <c r="B52" i="36"/>
  <c r="N52" i="36" s="1"/>
  <c r="N50" i="36"/>
  <c r="L47" i="18"/>
  <c r="L48" i="18" s="1"/>
  <c r="L63" i="36"/>
  <c r="L65" i="36" s="1"/>
  <c r="D61" i="18"/>
  <c r="D62" i="18" s="1"/>
  <c r="D63" i="38"/>
  <c r="D65" i="38" s="1"/>
  <c r="I69" i="18"/>
  <c r="N62" i="42"/>
  <c r="N89" i="18" s="1"/>
  <c r="L75" i="18"/>
  <c r="L76" i="18" s="1"/>
  <c r="L63" i="40"/>
  <c r="L65" i="40" s="1"/>
  <c r="D82" i="18"/>
  <c r="D83" i="18" s="1"/>
  <c r="N62" i="41"/>
  <c r="N82" i="18" s="1"/>
  <c r="H82" i="18"/>
  <c r="H63" i="41"/>
  <c r="H65" i="41" s="1"/>
  <c r="G66" i="18"/>
  <c r="G63" i="39"/>
  <c r="G65" i="39" s="1"/>
  <c r="M69" i="18"/>
  <c r="B19" i="40"/>
  <c r="N19" i="40" s="1"/>
  <c r="N17" i="40"/>
  <c r="J73" i="18"/>
  <c r="J76" i="18" s="1"/>
  <c r="J63" i="40"/>
  <c r="J65" i="40" s="1"/>
  <c r="D75" i="18"/>
  <c r="D76" i="18" s="1"/>
  <c r="D63" i="40"/>
  <c r="D65" i="40" s="1"/>
  <c r="I83" i="18"/>
  <c r="K63" i="41"/>
  <c r="K65" i="41" s="1"/>
  <c r="K80" i="18"/>
  <c r="K83" i="18" s="1"/>
  <c r="D63" i="39"/>
  <c r="D65" i="39" s="1"/>
  <c r="D66" i="18"/>
  <c r="B67" i="18"/>
  <c r="B69" i="18" s="1"/>
  <c r="B63" i="39"/>
  <c r="K68" i="18"/>
  <c r="K69" i="18" s="1"/>
  <c r="K63" i="39"/>
  <c r="K65" i="39" s="1"/>
  <c r="N41" i="40"/>
  <c r="G73" i="18"/>
  <c r="G76" i="18" s="1"/>
  <c r="G63" i="40"/>
  <c r="G65" i="40" s="1"/>
  <c r="N17" i="38"/>
  <c r="B63" i="40"/>
  <c r="M73" i="18"/>
  <c r="M76" i="18" s="1"/>
  <c r="N65" i="43" l="1"/>
  <c r="N97" i="18"/>
  <c r="N63" i="43"/>
  <c r="G90" i="18"/>
  <c r="C104" i="18"/>
  <c r="N90" i="18"/>
  <c r="C106" i="18"/>
  <c r="B105" i="18"/>
  <c r="B107" i="18" s="1"/>
  <c r="B109" i="18" s="1"/>
  <c r="F104" i="18"/>
  <c r="D106" i="18"/>
  <c r="N62" i="18"/>
  <c r="J48" i="18"/>
  <c r="N41" i="18"/>
  <c r="N65" i="35"/>
  <c r="N65" i="34"/>
  <c r="N63" i="34"/>
  <c r="N34" i="18"/>
  <c r="N65" i="33"/>
  <c r="N27" i="18"/>
  <c r="N65" i="4"/>
  <c r="N63" i="4"/>
  <c r="N76" i="18"/>
  <c r="D69" i="18"/>
  <c r="D104" i="18"/>
  <c r="H83" i="18"/>
  <c r="N83" i="18" s="1"/>
  <c r="H106" i="18"/>
  <c r="H107" i="18" s="1"/>
  <c r="H109" i="18" s="1"/>
  <c r="L69" i="18"/>
  <c r="L105" i="18"/>
  <c r="N63" i="36"/>
  <c r="B65" i="36"/>
  <c r="N65" i="36" s="1"/>
  <c r="L106" i="18"/>
  <c r="L104" i="18"/>
  <c r="L55" i="18"/>
  <c r="N55" i="18" s="1"/>
  <c r="C105" i="18"/>
  <c r="K106" i="18"/>
  <c r="N63" i="41"/>
  <c r="N63" i="33"/>
  <c r="F48" i="18"/>
  <c r="F106" i="18"/>
  <c r="I107" i="18"/>
  <c r="I109" i="18" s="1"/>
  <c r="B65" i="38"/>
  <c r="N65" i="38" s="1"/>
  <c r="N63" i="38"/>
  <c r="E104" i="18"/>
  <c r="E107" i="18" s="1"/>
  <c r="E109" i="18" s="1"/>
  <c r="G69" i="18"/>
  <c r="G104" i="18"/>
  <c r="G107" i="18" s="1"/>
  <c r="G109" i="18" s="1"/>
  <c r="N19" i="18"/>
  <c r="N63" i="39"/>
  <c r="B65" i="39"/>
  <c r="N65" i="39" s="1"/>
  <c r="B65" i="40"/>
  <c r="N65" i="40" s="1"/>
  <c r="N63" i="40"/>
  <c r="J104" i="18"/>
  <c r="J107" i="18" s="1"/>
  <c r="J109" i="18" s="1"/>
  <c r="N65" i="41"/>
  <c r="K105" i="18"/>
  <c r="N63" i="37"/>
  <c r="C65" i="37"/>
  <c r="N65" i="37" s="1"/>
  <c r="N63" i="35"/>
  <c r="M104" i="18"/>
  <c r="M107" i="18" s="1"/>
  <c r="M109" i="18" s="1"/>
  <c r="C65" i="42"/>
  <c r="N65" i="42" s="1"/>
  <c r="N63" i="42"/>
  <c r="K104" i="18"/>
  <c r="N48" i="18" l="1"/>
  <c r="C107" i="18"/>
  <c r="C109" i="18" s="1"/>
  <c r="N69" i="18"/>
  <c r="F107" i="18"/>
  <c r="F109" i="18" s="1"/>
  <c r="N105" i="18"/>
  <c r="L107" i="18"/>
  <c r="L109" i="18" s="1"/>
  <c r="D107" i="18"/>
  <c r="D109" i="18" s="1"/>
  <c r="N104" i="18"/>
  <c r="K107" i="18"/>
  <c r="K109" i="18" s="1"/>
  <c r="N106" i="18"/>
  <c r="N109" i="18" l="1"/>
  <c r="N107" i="18"/>
</calcChain>
</file>

<file path=xl/sharedStrings.xml><?xml version="1.0" encoding="utf-8"?>
<sst xmlns="http://schemas.openxmlformats.org/spreadsheetml/2006/main" count="1409" uniqueCount="122">
  <si>
    <t>TIME</t>
  </si>
  <si>
    <t>Motorcycle/Tuktuk</t>
  </si>
  <si>
    <t>Cars(&lt;=5seats)</t>
  </si>
  <si>
    <t>Pickups/Vans</t>
  </si>
  <si>
    <t>Minibus/Matatus(&lt;=14seat</t>
  </si>
  <si>
    <t>Small bus(14-33seat)</t>
  </si>
  <si>
    <t>Large bus(&gt;33seat)</t>
  </si>
  <si>
    <t>Light Trucks(2axles)</t>
  </si>
  <si>
    <t>Medium Trucks(2axle,Double rear wheel)</t>
  </si>
  <si>
    <t>Heavy Trucks(3, 4 axles)</t>
  </si>
  <si>
    <t>Artics/draw-bar trucks</t>
  </si>
  <si>
    <t>Others (e.g tractors)</t>
  </si>
  <si>
    <t>7:00-7:15</t>
  </si>
  <si>
    <t>7:15-7:30</t>
  </si>
  <si>
    <t>7:30-7:45</t>
  </si>
  <si>
    <t>7:45-8:00</t>
  </si>
  <si>
    <t>TOTAL</t>
  </si>
  <si>
    <t>TRAFFIC VOLUME COUNTS DATA (RAW DATA)</t>
  </si>
  <si>
    <t>8:00-8:15</t>
  </si>
  <si>
    <t>8:15-8:30</t>
  </si>
  <si>
    <t>8:30-8:45</t>
  </si>
  <si>
    <t>10:00-10:15</t>
  </si>
  <si>
    <t>10:15-10:30</t>
  </si>
  <si>
    <t>10:30-10:45</t>
  </si>
  <si>
    <t>10:45-11:00</t>
  </si>
  <si>
    <t>11:00-11:15</t>
  </si>
  <si>
    <t>12:00-12:15</t>
  </si>
  <si>
    <t>12:15-12:30</t>
  </si>
  <si>
    <t>12:30-12:45</t>
  </si>
  <si>
    <t>1:00-1:15</t>
  </si>
  <si>
    <t>1:15-1:30</t>
  </si>
  <si>
    <t>1:45-2:00</t>
  </si>
  <si>
    <t>2:00-2:15</t>
  </si>
  <si>
    <t>2:15-2:30</t>
  </si>
  <si>
    <t>2:30-2:45</t>
  </si>
  <si>
    <t>2:45-3:00</t>
  </si>
  <si>
    <t>4:00-4:15</t>
  </si>
  <si>
    <t>4:15-4:30</t>
  </si>
  <si>
    <t>4:45-5:00</t>
  </si>
  <si>
    <t>5:00-5:15</t>
  </si>
  <si>
    <t>5:15-5:30</t>
  </si>
  <si>
    <t>5:30-5:45</t>
  </si>
  <si>
    <t>5:45-6:00</t>
  </si>
  <si>
    <t>15 MINUTES VOLUMES</t>
  </si>
  <si>
    <t>Conversion Factor</t>
  </si>
  <si>
    <t>Large Cars,4WD,SUVs</t>
  </si>
  <si>
    <t>VEHICLES</t>
  </si>
  <si>
    <t>TOTALS</t>
  </si>
  <si>
    <t>PCUs, Passenger Car Units</t>
  </si>
  <si>
    <t>HOURLY (1HR) SUMMARY</t>
  </si>
  <si>
    <t>07 AM to 08 AM</t>
  </si>
  <si>
    <t>08 AM to 09 AM</t>
  </si>
  <si>
    <t>09 AM to 10 AM</t>
  </si>
  <si>
    <t>10 AM to 11 AM</t>
  </si>
  <si>
    <t>4:30-4:45</t>
  </si>
  <si>
    <t>7:00AM-8:00AM</t>
  </si>
  <si>
    <t>DAILY TOTALS (12 hour Traffic Volume Counts)</t>
  </si>
  <si>
    <t>8:00AM-9:00AM</t>
  </si>
  <si>
    <t>9:00AM-10:00AM</t>
  </si>
  <si>
    <t>11:00AM-12:00AM</t>
  </si>
  <si>
    <t>10:00AM-11:00AM</t>
  </si>
  <si>
    <t>12:00NOON-1:00PM</t>
  </si>
  <si>
    <t>1:00PM-2:00PM</t>
  </si>
  <si>
    <t>2:00PM-3:00PM</t>
  </si>
  <si>
    <t>3:00PM-4:00PM</t>
  </si>
  <si>
    <t>4:00PM-5:00PM</t>
  </si>
  <si>
    <t>5:00PM-6:00PM</t>
  </si>
  <si>
    <t>6:00PM-7:00PM</t>
  </si>
  <si>
    <t>HOURS VOLUMES VS DAILY VOLUMES</t>
  </si>
  <si>
    <t>HOURLY PER DAY</t>
  </si>
  <si>
    <t>DAILY TOTALS</t>
  </si>
  <si>
    <t>TOTALS FOR THE DAY</t>
  </si>
  <si>
    <t>8:45-9:00</t>
  </si>
  <si>
    <t>1:30-1:45</t>
  </si>
  <si>
    <t>11 AM to 12 AM</t>
  </si>
  <si>
    <t>12:45-1:00</t>
  </si>
  <si>
    <t>07:00 AM - 08:00 AM</t>
  </si>
  <si>
    <t>9:30-9:45</t>
  </si>
  <si>
    <t>9:15-9:30</t>
  </si>
  <si>
    <t>9:45-10:00</t>
  </si>
  <si>
    <t>11:15-11:30</t>
  </si>
  <si>
    <t>11:30-11:45</t>
  </si>
  <si>
    <t>11:45-12:00</t>
  </si>
  <si>
    <t>3:15-3:30</t>
  </si>
  <si>
    <t>3:30-3:45</t>
  </si>
  <si>
    <t>3:45-4:00</t>
  </si>
  <si>
    <t>6:00-6:15</t>
  </si>
  <si>
    <t>6:15-6:30</t>
  </si>
  <si>
    <t>6:30-6:45</t>
  </si>
  <si>
    <t>6:45-7:00</t>
  </si>
  <si>
    <t>9:00-9:15</t>
  </si>
  <si>
    <t>12 PM to 1 PM</t>
  </si>
  <si>
    <t>1 PM to 2 PM</t>
  </si>
  <si>
    <t>2 PM to 3 PM</t>
  </si>
  <si>
    <t>3:00-3:15</t>
  </si>
  <si>
    <t>3 PM to 4 PM</t>
  </si>
  <si>
    <t>4 PM to 5 PM</t>
  </si>
  <si>
    <t>5 PM to 6 PM</t>
  </si>
  <si>
    <t>6 PM to 7 PM</t>
  </si>
  <si>
    <t>06:00 PM - 07:00 PM</t>
  </si>
  <si>
    <t>08:00 AM - 09:00 AM</t>
  </si>
  <si>
    <t>09:00 AM - 10:00 AM</t>
  </si>
  <si>
    <t>10:00 AM - 11:00 AM</t>
  </si>
  <si>
    <t>11:00 AM - 12:00 AM</t>
  </si>
  <si>
    <t>12:00 AM - 1:00 PM</t>
  </si>
  <si>
    <t>1:00 PM - 2:00 PM</t>
  </si>
  <si>
    <t>2:00 PM - 3:00 PM</t>
  </si>
  <si>
    <t>3:00 AM - 4:00 AM</t>
  </si>
  <si>
    <t>4:00 PM - 5:00 PM</t>
  </si>
  <si>
    <t>5:00 PM - 6:00 PM</t>
  </si>
  <si>
    <t>Mombasa Bound Lane 1</t>
  </si>
  <si>
    <t>Mombasa Bound Lane 2</t>
  </si>
  <si>
    <t>Mombasa Bound Lane 3</t>
  </si>
  <si>
    <t>PHFs</t>
  </si>
  <si>
    <t>7-8AM</t>
  </si>
  <si>
    <t>8-9AM</t>
  </si>
  <si>
    <t>5-6PM</t>
  </si>
  <si>
    <t>6-7PM</t>
  </si>
  <si>
    <t>ROAD: NAIROBI - MOMBASA (A8) ROAD</t>
  </si>
  <si>
    <t>PROJECT: EXISTING COMMERCIAL DEVELOPMENT</t>
  </si>
  <si>
    <t>C/O: CRYSTAL RIVERS MALL</t>
  </si>
  <si>
    <t>SITE: ATHI RIVER AREA, MACHAKOS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</si>
</sst>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2" xfId="0" applyBorder="1"/>
    <xf numFmtId="0" fontId="0" fillId="0" borderId="2" xfId="0" applyBorder="1" applyAlignment="1">
      <alignment horizontal="right" wrapText="1"/>
    </xf>
    <xf numFmtId="0" fontId="0" fillId="0" borderId="0" xfId="0" applyAlignment="1">
      <alignment horizontal="right" wrapText="1"/>
    </xf>
    <xf numFmtId="0" fontId="0" fillId="2" borderId="2" xfId="0" applyFill="1" applyBorder="1"/>
    <xf numFmtId="0" fontId="1" fillId="0" borderId="1" xfId="0" applyFont="1" applyBorder="1" applyAlignment="1">
      <alignment horizontal="left" vertical="center" wrapText="1"/>
    </xf>
    <xf numFmtId="0" fontId="0" fillId="8" borderId="2" xfId="0" applyFill="1" applyBorder="1"/>
    <xf numFmtId="0" fontId="1" fillId="6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right"/>
    </xf>
    <xf numFmtId="0" fontId="0" fillId="4" borderId="1" xfId="0" applyFill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wrapText="1"/>
    </xf>
    <xf numFmtId="0" fontId="0" fillId="7" borderId="2" xfId="0" applyFill="1" applyBorder="1" applyAlignment="1">
      <alignment horizontal="right" wrapText="1"/>
    </xf>
    <xf numFmtId="0" fontId="1" fillId="7" borderId="2" xfId="0" applyFont="1" applyFill="1" applyBorder="1"/>
    <xf numFmtId="0" fontId="0" fillId="6" borderId="1" xfId="0" applyFill="1" applyBorder="1"/>
    <xf numFmtId="0" fontId="0" fillId="3" borderId="1" xfId="0" applyFill="1" applyBorder="1"/>
    <xf numFmtId="0" fontId="0" fillId="5" borderId="2" xfId="0" applyFill="1" applyBorder="1"/>
    <xf numFmtId="0" fontId="1" fillId="0" borderId="1" xfId="0" applyFont="1" applyBorder="1" applyAlignment="1">
      <alignment horizontal="right" wrapText="1"/>
    </xf>
    <xf numFmtId="0" fontId="0" fillId="5" borderId="1" xfId="0" applyFill="1" applyBorder="1"/>
    <xf numFmtId="0" fontId="0" fillId="2" borderId="8" xfId="0" applyFill="1" applyBorder="1"/>
    <xf numFmtId="0" fontId="1" fillId="0" borderId="0" xfId="0" applyFont="1" applyAlignment="1">
      <alignment horizontal="right" wrapText="1"/>
    </xf>
    <xf numFmtId="0" fontId="1" fillId="4" borderId="3" xfId="0" applyFont="1" applyFill="1" applyBorder="1" applyAlignment="1">
      <alignment horizontal="right"/>
    </xf>
    <xf numFmtId="0" fontId="0" fillId="4" borderId="3" xfId="0" applyFill="1" applyBorder="1"/>
    <xf numFmtId="0" fontId="1" fillId="2" borderId="7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2" borderId="7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-9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-8AM"/>
      <sheetName val="8-9 AM"/>
      <sheetName val="9-10AM"/>
      <sheetName val="10-11AM"/>
      <sheetName val="11-12AM"/>
      <sheetName val="12-1PM"/>
      <sheetName val="1-2PM"/>
      <sheetName val="2-3PM"/>
      <sheetName val="3-4PM"/>
      <sheetName val="4-5PM"/>
      <sheetName val="5-6PM "/>
      <sheetName val="6-7PM"/>
      <sheetName val="DAY"/>
      <sheetName val="8-9AM"/>
    </sheetNames>
    <sheetDataSet>
      <sheetData sheetId="0"/>
      <sheetData sheetId="1">
        <row r="60">
          <cell r="N60">
            <v>349</v>
          </cell>
        </row>
        <row r="61">
          <cell r="N61">
            <v>185</v>
          </cell>
        </row>
        <row r="62">
          <cell r="N62">
            <v>185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view="pageBreakPreview" zoomScaleNormal="100" zoomScaleSheetLayoutView="100" workbookViewId="0">
      <selection activeCell="A3" sqref="A3:N3"/>
    </sheetView>
  </sheetViews>
  <sheetFormatPr defaultRowHeight="15" x14ac:dyDescent="0.25"/>
  <cols>
    <col min="1" max="1" width="12.5703125" customWidth="1"/>
  </cols>
  <sheetData>
    <row r="1" spans="1:14" x14ac:dyDescent="0.25">
      <c r="A1" s="30" t="s">
        <v>76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8" t="s">
        <v>118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9" customHeight="1" x14ac:dyDescent="0.25"/>
    <row r="5" spans="1:14" x14ac:dyDescent="0.25">
      <c r="A5" s="36" t="s">
        <v>121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</row>
    <row r="6" spans="1:14" x14ac:dyDescent="0.25">
      <c r="A6" s="36" t="s">
        <v>119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4" x14ac:dyDescent="0.25">
      <c r="A7" s="36" t="s">
        <v>120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</row>
    <row r="8" spans="1:14" ht="7.5" customHeight="1" x14ac:dyDescent="0.25"/>
    <row r="9" spans="1:14" x14ac:dyDescent="0.25">
      <c r="A9" s="35" t="s">
        <v>17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34" t="s">
        <v>43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ht="9" customHeight="1" x14ac:dyDescent="0.25"/>
    <row r="12" spans="1:14" ht="71.25" customHeight="1" x14ac:dyDescent="0.25">
      <c r="A12" s="1" t="s">
        <v>0</v>
      </c>
      <c r="B12" s="2" t="s">
        <v>1</v>
      </c>
      <c r="C12" s="2" t="s">
        <v>2</v>
      </c>
      <c r="D12" s="2" t="s">
        <v>45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7" t="s">
        <v>47</v>
      </c>
    </row>
    <row r="13" spans="1:14" ht="20.25" customHeight="1" x14ac:dyDescent="0.25">
      <c r="A13" s="31" t="s">
        <v>12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8"/>
    </row>
    <row r="14" spans="1:14" ht="28.5" customHeight="1" x14ac:dyDescent="0.25">
      <c r="A14" s="4" t="s">
        <v>110</v>
      </c>
      <c r="B14" s="3">
        <v>15</v>
      </c>
      <c r="C14" s="3">
        <v>5</v>
      </c>
      <c r="D14" s="3">
        <v>3</v>
      </c>
      <c r="E14" s="3">
        <v>1</v>
      </c>
      <c r="F14" s="3">
        <v>3</v>
      </c>
      <c r="G14" s="3">
        <v>6</v>
      </c>
      <c r="H14" s="3">
        <v>2</v>
      </c>
      <c r="I14" s="3">
        <v>0</v>
      </c>
      <c r="J14" s="3">
        <v>2</v>
      </c>
      <c r="K14" s="3">
        <v>0</v>
      </c>
      <c r="L14" s="3">
        <v>0</v>
      </c>
      <c r="M14" s="3">
        <v>0</v>
      </c>
      <c r="N14" s="20">
        <v>37</v>
      </c>
    </row>
    <row r="15" spans="1:14" ht="31.5" customHeight="1" x14ac:dyDescent="0.25">
      <c r="A15" s="4" t="s">
        <v>111</v>
      </c>
      <c r="B15" s="3">
        <v>19</v>
      </c>
      <c r="C15" s="3">
        <v>18</v>
      </c>
      <c r="D15" s="3">
        <v>14</v>
      </c>
      <c r="E15" s="3">
        <v>5</v>
      </c>
      <c r="F15" s="3">
        <v>11</v>
      </c>
      <c r="G15" s="3">
        <v>5</v>
      </c>
      <c r="H15" s="3">
        <v>1</v>
      </c>
      <c r="I15" s="3">
        <v>0</v>
      </c>
      <c r="J15" s="3">
        <v>12</v>
      </c>
      <c r="K15" s="3">
        <v>4</v>
      </c>
      <c r="L15" s="3">
        <v>20</v>
      </c>
      <c r="M15" s="3">
        <v>0</v>
      </c>
      <c r="N15" s="20">
        <f>SUM(B15:M15)</f>
        <v>109</v>
      </c>
    </row>
    <row r="16" spans="1:14" ht="27" customHeight="1" x14ac:dyDescent="0.25">
      <c r="A16" s="4" t="s">
        <v>112</v>
      </c>
      <c r="B16" s="3">
        <v>4</v>
      </c>
      <c r="C16" s="3">
        <v>45</v>
      </c>
      <c r="D16" s="3">
        <v>17</v>
      </c>
      <c r="E16" s="3">
        <v>12</v>
      </c>
      <c r="F16" s="3">
        <v>13</v>
      </c>
      <c r="G16" s="3">
        <v>5</v>
      </c>
      <c r="H16" s="3">
        <v>0</v>
      </c>
      <c r="I16" s="3">
        <v>1</v>
      </c>
      <c r="J16" s="3">
        <v>8</v>
      </c>
      <c r="K16" s="3">
        <v>3</v>
      </c>
      <c r="L16" s="3">
        <v>9</v>
      </c>
      <c r="M16" s="3">
        <v>0</v>
      </c>
      <c r="N16" s="20">
        <f>SUM(B16:M16)</f>
        <v>117</v>
      </c>
    </row>
    <row r="17" spans="1:14" ht="47.25" customHeight="1" x14ac:dyDescent="0.25">
      <c r="A17" s="10" t="s">
        <v>46</v>
      </c>
      <c r="B17" s="11">
        <f t="shared" ref="B17:M17" si="0">SUM(B14:B16)</f>
        <v>38</v>
      </c>
      <c r="C17" s="11">
        <f t="shared" si="0"/>
        <v>68</v>
      </c>
      <c r="D17" s="11">
        <f t="shared" si="0"/>
        <v>34</v>
      </c>
      <c r="E17" s="11">
        <f t="shared" si="0"/>
        <v>18</v>
      </c>
      <c r="F17" s="11">
        <f t="shared" si="0"/>
        <v>27</v>
      </c>
      <c r="G17" s="11">
        <f t="shared" si="0"/>
        <v>16</v>
      </c>
      <c r="H17" s="11">
        <f t="shared" si="0"/>
        <v>3</v>
      </c>
      <c r="I17" s="11">
        <f t="shared" si="0"/>
        <v>1</v>
      </c>
      <c r="J17" s="11">
        <f t="shared" si="0"/>
        <v>22</v>
      </c>
      <c r="K17" s="11">
        <f t="shared" si="0"/>
        <v>7</v>
      </c>
      <c r="L17" s="11">
        <f t="shared" si="0"/>
        <v>29</v>
      </c>
      <c r="M17" s="11">
        <f t="shared" si="0"/>
        <v>0</v>
      </c>
      <c r="N17" s="11">
        <f>SUM(B17:M17)</f>
        <v>263</v>
      </c>
    </row>
    <row r="18" spans="1:14" ht="30" x14ac:dyDescent="0.25">
      <c r="A18" s="16" t="s">
        <v>44</v>
      </c>
      <c r="B18" s="17">
        <v>0.5</v>
      </c>
      <c r="C18" s="17">
        <v>1</v>
      </c>
      <c r="D18" s="17">
        <v>1</v>
      </c>
      <c r="E18" s="17">
        <v>1.75</v>
      </c>
      <c r="F18" s="17">
        <v>1.75</v>
      </c>
      <c r="G18" s="17">
        <v>2</v>
      </c>
      <c r="H18" s="17">
        <v>2.5</v>
      </c>
      <c r="I18" s="17">
        <v>1.25</v>
      </c>
      <c r="J18" s="17">
        <v>1.5</v>
      </c>
      <c r="K18" s="17">
        <v>2.75</v>
      </c>
      <c r="L18" s="17">
        <v>3</v>
      </c>
      <c r="M18" s="17">
        <v>2</v>
      </c>
      <c r="N18" s="8"/>
    </row>
    <row r="19" spans="1:14" ht="45" x14ac:dyDescent="0.25">
      <c r="A19" s="9" t="s">
        <v>48</v>
      </c>
      <c r="B19" s="18">
        <f>B17*B18</f>
        <v>19</v>
      </c>
      <c r="C19" s="18">
        <f t="shared" ref="C19:M19" si="1">C17*C18</f>
        <v>68</v>
      </c>
      <c r="D19" s="18">
        <f t="shared" si="1"/>
        <v>34</v>
      </c>
      <c r="E19" s="18">
        <f t="shared" si="1"/>
        <v>31.5</v>
      </c>
      <c r="F19" s="18">
        <f t="shared" si="1"/>
        <v>47.25</v>
      </c>
      <c r="G19" s="18">
        <f t="shared" si="1"/>
        <v>32</v>
      </c>
      <c r="H19" s="18">
        <f t="shared" si="1"/>
        <v>7.5</v>
      </c>
      <c r="I19" s="18">
        <f t="shared" si="1"/>
        <v>1.25</v>
      </c>
      <c r="J19" s="18">
        <f t="shared" si="1"/>
        <v>33</v>
      </c>
      <c r="K19" s="18">
        <f t="shared" si="1"/>
        <v>19.25</v>
      </c>
      <c r="L19" s="18">
        <f t="shared" si="1"/>
        <v>87</v>
      </c>
      <c r="M19" s="18">
        <f t="shared" si="1"/>
        <v>0</v>
      </c>
      <c r="N19" s="19">
        <f>SUM(B19:M19)</f>
        <v>379.75</v>
      </c>
    </row>
    <row r="20" spans="1:14" x14ac:dyDescent="0.25">
      <c r="A20" s="5"/>
    </row>
    <row r="21" spans="1:14" x14ac:dyDescent="0.25">
      <c r="A21" s="5"/>
    </row>
    <row r="22" spans="1:14" x14ac:dyDescent="0.25">
      <c r="A22" s="5"/>
    </row>
    <row r="23" spans="1:14" ht="75" x14ac:dyDescent="0.25">
      <c r="A23" s="1" t="s">
        <v>0</v>
      </c>
      <c r="B23" s="2" t="s">
        <v>1</v>
      </c>
      <c r="C23" s="2" t="s">
        <v>2</v>
      </c>
      <c r="D23" s="2" t="s">
        <v>45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  <c r="N23" s="7" t="s">
        <v>47</v>
      </c>
    </row>
    <row r="24" spans="1:14" x14ac:dyDescent="0.25">
      <c r="A24" s="31" t="s">
        <v>13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8"/>
    </row>
    <row r="25" spans="1:14" ht="27" customHeight="1" x14ac:dyDescent="0.25">
      <c r="A25" s="4" t="s">
        <v>110</v>
      </c>
      <c r="B25" s="3">
        <v>20</v>
      </c>
      <c r="C25" s="3">
        <v>11</v>
      </c>
      <c r="D25" s="3">
        <v>5</v>
      </c>
      <c r="E25" s="3">
        <v>1</v>
      </c>
      <c r="F25" s="3">
        <v>4</v>
      </c>
      <c r="G25" s="3">
        <v>1</v>
      </c>
      <c r="H25" s="3">
        <v>0</v>
      </c>
      <c r="I25" s="3">
        <v>0</v>
      </c>
      <c r="J25" s="3">
        <v>2</v>
      </c>
      <c r="K25" s="3">
        <v>0</v>
      </c>
      <c r="L25" s="3">
        <v>0</v>
      </c>
      <c r="M25" s="3">
        <v>0</v>
      </c>
      <c r="N25" s="20">
        <f>SUM(B25:M25)</f>
        <v>44</v>
      </c>
    </row>
    <row r="26" spans="1:14" ht="45" x14ac:dyDescent="0.25">
      <c r="A26" s="4" t="s">
        <v>111</v>
      </c>
      <c r="B26" s="3">
        <v>27</v>
      </c>
      <c r="C26" s="3">
        <v>40</v>
      </c>
      <c r="D26" s="3">
        <v>21</v>
      </c>
      <c r="E26" s="3">
        <v>6</v>
      </c>
      <c r="F26" s="3">
        <v>8</v>
      </c>
      <c r="G26" s="3">
        <v>7</v>
      </c>
      <c r="H26" s="3">
        <v>1</v>
      </c>
      <c r="I26" s="3">
        <v>0</v>
      </c>
      <c r="J26" s="3">
        <v>7</v>
      </c>
      <c r="K26" s="3">
        <v>7</v>
      </c>
      <c r="L26" s="3">
        <v>17</v>
      </c>
      <c r="M26" s="3">
        <v>0</v>
      </c>
      <c r="N26" s="20">
        <f>SUM(B26:M26)</f>
        <v>141</v>
      </c>
    </row>
    <row r="27" spans="1:14" ht="45" x14ac:dyDescent="0.25">
      <c r="A27" s="4" t="s">
        <v>112</v>
      </c>
      <c r="B27" s="3">
        <v>1</v>
      </c>
      <c r="C27" s="3">
        <v>45</v>
      </c>
      <c r="D27" s="3">
        <v>24</v>
      </c>
      <c r="E27" s="3">
        <v>11</v>
      </c>
      <c r="F27" s="3">
        <v>12</v>
      </c>
      <c r="G27" s="3">
        <v>7</v>
      </c>
      <c r="H27" s="3">
        <v>0</v>
      </c>
      <c r="I27" s="3">
        <v>1</v>
      </c>
      <c r="J27" s="3">
        <v>6</v>
      </c>
      <c r="K27" s="3">
        <v>3</v>
      </c>
      <c r="L27" s="3">
        <v>12</v>
      </c>
      <c r="M27" s="3">
        <v>0</v>
      </c>
      <c r="N27" s="20">
        <f>SUM(B27:M27)</f>
        <v>122</v>
      </c>
    </row>
    <row r="28" spans="1:14" x14ac:dyDescent="0.25">
      <c r="A28" s="10" t="s">
        <v>46</v>
      </c>
      <c r="B28" s="11">
        <f t="shared" ref="B28:M28" si="2">SUM(B25:B27)</f>
        <v>48</v>
      </c>
      <c r="C28" s="11">
        <f t="shared" si="2"/>
        <v>96</v>
      </c>
      <c r="D28" s="11">
        <f t="shared" si="2"/>
        <v>50</v>
      </c>
      <c r="E28" s="11">
        <f t="shared" si="2"/>
        <v>18</v>
      </c>
      <c r="F28" s="11">
        <f t="shared" si="2"/>
        <v>24</v>
      </c>
      <c r="G28" s="11">
        <f t="shared" si="2"/>
        <v>15</v>
      </c>
      <c r="H28" s="11">
        <f t="shared" si="2"/>
        <v>1</v>
      </c>
      <c r="I28" s="11">
        <f t="shared" si="2"/>
        <v>1</v>
      </c>
      <c r="J28" s="11">
        <f t="shared" si="2"/>
        <v>15</v>
      </c>
      <c r="K28" s="11">
        <f t="shared" si="2"/>
        <v>10</v>
      </c>
      <c r="L28" s="11">
        <f t="shared" si="2"/>
        <v>29</v>
      </c>
      <c r="M28" s="11">
        <f t="shared" si="2"/>
        <v>0</v>
      </c>
      <c r="N28" s="11">
        <f>SUM(B28:M28)</f>
        <v>307</v>
      </c>
    </row>
    <row r="29" spans="1:14" ht="30" x14ac:dyDescent="0.25">
      <c r="A29" s="16" t="s">
        <v>44</v>
      </c>
      <c r="B29" s="17">
        <v>0.5</v>
      </c>
      <c r="C29" s="17">
        <v>1</v>
      </c>
      <c r="D29" s="17">
        <v>1</v>
      </c>
      <c r="E29" s="17">
        <v>1.75</v>
      </c>
      <c r="F29" s="17">
        <v>1.75</v>
      </c>
      <c r="G29" s="17">
        <v>2</v>
      </c>
      <c r="H29" s="17">
        <v>2.5</v>
      </c>
      <c r="I29" s="17">
        <v>1.25</v>
      </c>
      <c r="J29" s="17">
        <v>1.5</v>
      </c>
      <c r="K29" s="17">
        <v>2.75</v>
      </c>
      <c r="L29" s="17">
        <v>3</v>
      </c>
      <c r="M29" s="17">
        <v>2</v>
      </c>
      <c r="N29" s="8"/>
    </row>
    <row r="30" spans="1:14" ht="45" x14ac:dyDescent="0.25">
      <c r="A30" s="9" t="s">
        <v>48</v>
      </c>
      <c r="B30" s="18">
        <f>B28*B29</f>
        <v>24</v>
      </c>
      <c r="C30" s="18">
        <f t="shared" ref="C30:M30" si="3">C28*C29</f>
        <v>96</v>
      </c>
      <c r="D30" s="18">
        <f t="shared" si="3"/>
        <v>50</v>
      </c>
      <c r="E30" s="18">
        <f t="shared" si="3"/>
        <v>31.5</v>
      </c>
      <c r="F30" s="18">
        <f t="shared" si="3"/>
        <v>42</v>
      </c>
      <c r="G30" s="18">
        <f t="shared" si="3"/>
        <v>30</v>
      </c>
      <c r="H30" s="18">
        <f t="shared" si="3"/>
        <v>2.5</v>
      </c>
      <c r="I30" s="18">
        <f t="shared" si="3"/>
        <v>1.25</v>
      </c>
      <c r="J30" s="18">
        <f t="shared" si="3"/>
        <v>22.5</v>
      </c>
      <c r="K30" s="18">
        <f t="shared" si="3"/>
        <v>27.5</v>
      </c>
      <c r="L30" s="18">
        <f t="shared" si="3"/>
        <v>87</v>
      </c>
      <c r="M30" s="18">
        <f t="shared" si="3"/>
        <v>0</v>
      </c>
      <c r="N30" s="19">
        <f>SUM(B30:M30)</f>
        <v>414.25</v>
      </c>
    </row>
    <row r="31" spans="1:14" x14ac:dyDescent="0.25">
      <c r="A31" s="12"/>
    </row>
    <row r="32" spans="1:14" ht="24.75" customHeight="1" x14ac:dyDescent="0.25">
      <c r="A32" s="12"/>
    </row>
    <row r="33" spans="1:14" x14ac:dyDescent="0.25">
      <c r="A33" s="12"/>
    </row>
    <row r="34" spans="1:14" ht="45" customHeight="1" x14ac:dyDescent="0.25">
      <c r="A34" s="1" t="s">
        <v>0</v>
      </c>
      <c r="B34" s="2" t="s">
        <v>1</v>
      </c>
      <c r="C34" s="2" t="s">
        <v>2</v>
      </c>
      <c r="D34" s="2" t="s">
        <v>45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7" t="s">
        <v>47</v>
      </c>
    </row>
    <row r="35" spans="1:14" ht="30.75" customHeight="1" x14ac:dyDescent="0.25">
      <c r="A35" s="31" t="s">
        <v>14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8"/>
    </row>
    <row r="36" spans="1:14" ht="45" x14ac:dyDescent="0.25">
      <c r="A36" s="4" t="s">
        <v>110</v>
      </c>
      <c r="B36" s="3">
        <v>16</v>
      </c>
      <c r="C36" s="3">
        <v>11</v>
      </c>
      <c r="D36" s="3">
        <v>9</v>
      </c>
      <c r="E36" s="3">
        <v>1</v>
      </c>
      <c r="F36" s="3">
        <v>8</v>
      </c>
      <c r="G36" s="3">
        <v>3</v>
      </c>
      <c r="H36" s="3">
        <v>1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20">
        <f>SUM(B36:M36)</f>
        <v>49</v>
      </c>
    </row>
    <row r="37" spans="1:14" ht="45" x14ac:dyDescent="0.25">
      <c r="A37" s="4" t="s">
        <v>111</v>
      </c>
      <c r="B37" s="3">
        <v>12</v>
      </c>
      <c r="C37" s="3">
        <v>31</v>
      </c>
      <c r="D37" s="3">
        <v>21</v>
      </c>
      <c r="E37" s="3">
        <v>4</v>
      </c>
      <c r="F37" s="3">
        <v>6</v>
      </c>
      <c r="G37" s="3">
        <v>4</v>
      </c>
      <c r="H37" s="3">
        <v>0</v>
      </c>
      <c r="I37" s="3">
        <v>0</v>
      </c>
      <c r="J37" s="3">
        <v>6</v>
      </c>
      <c r="K37" s="3">
        <v>6</v>
      </c>
      <c r="L37" s="3">
        <v>11</v>
      </c>
      <c r="M37" s="3">
        <v>0</v>
      </c>
      <c r="N37" s="20">
        <f>SUM(B37:M37)</f>
        <v>101</v>
      </c>
    </row>
    <row r="38" spans="1:14" ht="45" x14ac:dyDescent="0.25">
      <c r="A38" s="4" t="s">
        <v>112</v>
      </c>
      <c r="B38" s="3">
        <v>1</v>
      </c>
      <c r="C38" s="3">
        <v>28</v>
      </c>
      <c r="D38" s="3">
        <v>19</v>
      </c>
      <c r="E38" s="3">
        <v>6</v>
      </c>
      <c r="F38" s="3">
        <v>8</v>
      </c>
      <c r="G38" s="3">
        <v>2</v>
      </c>
      <c r="H38" s="3">
        <v>1</v>
      </c>
      <c r="I38" s="3">
        <v>0</v>
      </c>
      <c r="J38" s="3">
        <v>4</v>
      </c>
      <c r="K38" s="3">
        <v>1</v>
      </c>
      <c r="L38" s="3">
        <v>7</v>
      </c>
      <c r="M38" s="3">
        <v>0</v>
      </c>
      <c r="N38" s="20">
        <f>SUM(B38:M38)</f>
        <v>77</v>
      </c>
    </row>
    <row r="39" spans="1:14" ht="53.25" customHeight="1" x14ac:dyDescent="0.25">
      <c r="A39" s="10" t="s">
        <v>46</v>
      </c>
      <c r="B39" s="11">
        <f t="shared" ref="B39:M39" si="4">SUM(B36:B38)</f>
        <v>29</v>
      </c>
      <c r="C39" s="11">
        <f t="shared" si="4"/>
        <v>70</v>
      </c>
      <c r="D39" s="11">
        <f t="shared" si="4"/>
        <v>49</v>
      </c>
      <c r="E39" s="11">
        <f t="shared" si="4"/>
        <v>11</v>
      </c>
      <c r="F39" s="11">
        <f t="shared" si="4"/>
        <v>22</v>
      </c>
      <c r="G39" s="11">
        <f t="shared" si="4"/>
        <v>9</v>
      </c>
      <c r="H39" s="11">
        <f t="shared" si="4"/>
        <v>2</v>
      </c>
      <c r="I39" s="11">
        <f t="shared" si="4"/>
        <v>0</v>
      </c>
      <c r="J39" s="11">
        <f t="shared" si="4"/>
        <v>10</v>
      </c>
      <c r="K39" s="11">
        <f t="shared" si="4"/>
        <v>7</v>
      </c>
      <c r="L39" s="11">
        <f t="shared" si="4"/>
        <v>18</v>
      </c>
      <c r="M39" s="11">
        <f t="shared" si="4"/>
        <v>0</v>
      </c>
      <c r="N39" s="11">
        <f>SUM(B39:M39)</f>
        <v>227</v>
      </c>
    </row>
    <row r="40" spans="1:14" ht="30" x14ac:dyDescent="0.25">
      <c r="A40" s="16" t="s">
        <v>44</v>
      </c>
      <c r="B40" s="17">
        <v>0.5</v>
      </c>
      <c r="C40" s="17">
        <v>1</v>
      </c>
      <c r="D40" s="17">
        <v>1</v>
      </c>
      <c r="E40" s="17">
        <v>1.75</v>
      </c>
      <c r="F40" s="17">
        <v>1.75</v>
      </c>
      <c r="G40" s="17">
        <v>2</v>
      </c>
      <c r="H40" s="17">
        <v>2.5</v>
      </c>
      <c r="I40" s="17">
        <v>1.25</v>
      </c>
      <c r="J40" s="17">
        <v>1.5</v>
      </c>
      <c r="K40" s="17">
        <v>2.75</v>
      </c>
      <c r="L40" s="17">
        <v>3</v>
      </c>
      <c r="M40" s="17">
        <v>2</v>
      </c>
      <c r="N40" s="8"/>
    </row>
    <row r="41" spans="1:14" ht="45" x14ac:dyDescent="0.25">
      <c r="A41" s="9" t="s">
        <v>48</v>
      </c>
      <c r="B41" s="18">
        <f>B39*B40</f>
        <v>14.5</v>
      </c>
      <c r="C41" s="18">
        <f t="shared" ref="C41" si="5">C39*C40</f>
        <v>70</v>
      </c>
      <c r="D41" s="18">
        <f t="shared" ref="D41" si="6">D39*D40</f>
        <v>49</v>
      </c>
      <c r="E41" s="18">
        <f t="shared" ref="E41" si="7">E39*E40</f>
        <v>19.25</v>
      </c>
      <c r="F41" s="18">
        <f t="shared" ref="F41" si="8">F39*F40</f>
        <v>38.5</v>
      </c>
      <c r="G41" s="18">
        <f t="shared" ref="G41" si="9">G39*G40</f>
        <v>18</v>
      </c>
      <c r="H41" s="18">
        <f t="shared" ref="H41" si="10">H39*H40</f>
        <v>5</v>
      </c>
      <c r="I41" s="18">
        <f t="shared" ref="I41" si="11">I39*I40</f>
        <v>0</v>
      </c>
      <c r="J41" s="18">
        <f t="shared" ref="J41" si="12">J39*J40</f>
        <v>15</v>
      </c>
      <c r="K41" s="18">
        <f t="shared" ref="K41" si="13">K39*K40</f>
        <v>19.25</v>
      </c>
      <c r="L41" s="18">
        <f t="shared" ref="L41" si="14">L39*L40</f>
        <v>54</v>
      </c>
      <c r="M41" s="18">
        <f t="shared" ref="M41" si="15">M39*M40</f>
        <v>0</v>
      </c>
      <c r="N41" s="19">
        <f>SUM(B41:M41)</f>
        <v>302.5</v>
      </c>
    </row>
    <row r="42" spans="1:14" ht="32.25" customHeight="1" x14ac:dyDescent="0.25"/>
    <row r="43" spans="1:14" ht="27.75" customHeight="1" x14ac:dyDescent="0.25"/>
    <row r="45" spans="1:14" ht="75" x14ac:dyDescent="0.25">
      <c r="A45" s="1" t="s">
        <v>0</v>
      </c>
      <c r="B45" s="2" t="s">
        <v>1</v>
      </c>
      <c r="C45" s="2" t="s">
        <v>2</v>
      </c>
      <c r="D45" s="2" t="s">
        <v>45</v>
      </c>
      <c r="E45" s="2" t="s">
        <v>3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8</v>
      </c>
      <c r="K45" s="2" t="s">
        <v>9</v>
      </c>
      <c r="L45" s="2" t="s">
        <v>10</v>
      </c>
      <c r="M45" s="2" t="s">
        <v>11</v>
      </c>
      <c r="N45" s="7" t="s">
        <v>47</v>
      </c>
    </row>
    <row r="46" spans="1:14" ht="21.75" customHeight="1" x14ac:dyDescent="0.25">
      <c r="A46" s="31" t="s">
        <v>15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8"/>
    </row>
    <row r="47" spans="1:14" ht="26.25" customHeight="1" x14ac:dyDescent="0.25">
      <c r="A47" s="4" t="s">
        <v>110</v>
      </c>
      <c r="B47" s="3">
        <v>14</v>
      </c>
      <c r="C47" s="3">
        <v>11</v>
      </c>
      <c r="D47" s="3">
        <v>10</v>
      </c>
      <c r="E47" s="3">
        <v>1</v>
      </c>
      <c r="F47" s="3">
        <v>4</v>
      </c>
      <c r="G47" s="3">
        <v>2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20">
        <f>SUM(B47:M47)</f>
        <v>43</v>
      </c>
    </row>
    <row r="48" spans="1:14" ht="45" x14ac:dyDescent="0.25">
      <c r="A48" s="4" t="s">
        <v>111</v>
      </c>
      <c r="B48" s="3">
        <v>17</v>
      </c>
      <c r="C48" s="3">
        <v>29</v>
      </c>
      <c r="D48" s="3">
        <v>31</v>
      </c>
      <c r="E48" s="3">
        <v>6</v>
      </c>
      <c r="F48" s="3">
        <v>6</v>
      </c>
      <c r="G48" s="3">
        <v>3</v>
      </c>
      <c r="H48" s="3">
        <v>0</v>
      </c>
      <c r="I48" s="3">
        <v>0</v>
      </c>
      <c r="J48" s="3">
        <v>7</v>
      </c>
      <c r="K48" s="3">
        <v>7</v>
      </c>
      <c r="L48" s="3">
        <v>12</v>
      </c>
      <c r="M48" s="3">
        <v>1</v>
      </c>
      <c r="N48" s="20">
        <f>SUM(B48:M48)</f>
        <v>119</v>
      </c>
    </row>
    <row r="49" spans="1:14" ht="28.5" customHeight="1" x14ac:dyDescent="0.25">
      <c r="A49" s="4" t="s">
        <v>112</v>
      </c>
      <c r="B49" s="3">
        <v>8</v>
      </c>
      <c r="C49" s="3">
        <v>42</v>
      </c>
      <c r="D49" s="3">
        <v>22</v>
      </c>
      <c r="E49" s="3">
        <v>9</v>
      </c>
      <c r="F49" s="3">
        <v>8</v>
      </c>
      <c r="G49" s="3">
        <v>1</v>
      </c>
      <c r="H49" s="3">
        <v>0</v>
      </c>
      <c r="I49" s="3">
        <v>0</v>
      </c>
      <c r="J49" s="3">
        <v>5</v>
      </c>
      <c r="K49" s="3">
        <v>4</v>
      </c>
      <c r="L49" s="3">
        <v>6</v>
      </c>
      <c r="M49" s="3">
        <v>0</v>
      </c>
      <c r="N49" s="20">
        <f>SUM(B49:M49)</f>
        <v>105</v>
      </c>
    </row>
    <row r="50" spans="1:14" x14ac:dyDescent="0.25">
      <c r="A50" s="10" t="s">
        <v>46</v>
      </c>
      <c r="B50" s="11">
        <f t="shared" ref="B50:M50" si="16">SUM(B47:B49)</f>
        <v>39</v>
      </c>
      <c r="C50" s="11">
        <f t="shared" si="16"/>
        <v>82</v>
      </c>
      <c r="D50" s="11">
        <f t="shared" si="16"/>
        <v>63</v>
      </c>
      <c r="E50" s="11">
        <f t="shared" si="16"/>
        <v>16</v>
      </c>
      <c r="F50" s="11">
        <f t="shared" si="16"/>
        <v>18</v>
      </c>
      <c r="G50" s="11">
        <f t="shared" si="16"/>
        <v>6</v>
      </c>
      <c r="H50" s="11">
        <f t="shared" si="16"/>
        <v>1</v>
      </c>
      <c r="I50" s="11">
        <f t="shared" si="16"/>
        <v>0</v>
      </c>
      <c r="J50" s="11">
        <f t="shared" si="16"/>
        <v>12</v>
      </c>
      <c r="K50" s="11">
        <f t="shared" si="16"/>
        <v>11</v>
      </c>
      <c r="L50" s="11">
        <f t="shared" si="16"/>
        <v>18</v>
      </c>
      <c r="M50" s="11">
        <f t="shared" si="16"/>
        <v>1</v>
      </c>
      <c r="N50" s="11">
        <f>SUM(B50:M50)</f>
        <v>267</v>
      </c>
    </row>
    <row r="51" spans="1:14" ht="30" x14ac:dyDescent="0.25">
      <c r="A51" s="16" t="s">
        <v>44</v>
      </c>
      <c r="B51" s="17">
        <v>0.5</v>
      </c>
      <c r="C51" s="17">
        <v>1</v>
      </c>
      <c r="D51" s="17">
        <v>1</v>
      </c>
      <c r="E51" s="17">
        <v>1.75</v>
      </c>
      <c r="F51" s="17">
        <v>1.75</v>
      </c>
      <c r="G51" s="17">
        <v>2</v>
      </c>
      <c r="H51" s="17">
        <v>2.5</v>
      </c>
      <c r="I51" s="17">
        <v>1.25</v>
      </c>
      <c r="J51" s="17">
        <v>1.5</v>
      </c>
      <c r="K51" s="17">
        <v>2.75</v>
      </c>
      <c r="L51" s="17">
        <v>3</v>
      </c>
      <c r="M51" s="17">
        <v>2</v>
      </c>
      <c r="N51" s="8"/>
    </row>
    <row r="52" spans="1:14" ht="45" x14ac:dyDescent="0.25">
      <c r="A52" s="9" t="s">
        <v>48</v>
      </c>
      <c r="B52" s="18">
        <f>B50*B51</f>
        <v>19.5</v>
      </c>
      <c r="C52" s="18">
        <f t="shared" ref="C52" si="17">C50*C51</f>
        <v>82</v>
      </c>
      <c r="D52" s="18">
        <f t="shared" ref="D52" si="18">D50*D51</f>
        <v>63</v>
      </c>
      <c r="E52" s="18">
        <f t="shared" ref="E52" si="19">E50*E51</f>
        <v>28</v>
      </c>
      <c r="F52" s="18">
        <f t="shared" ref="F52" si="20">F50*F51</f>
        <v>31.5</v>
      </c>
      <c r="G52" s="18">
        <f t="shared" ref="G52" si="21">G50*G51</f>
        <v>12</v>
      </c>
      <c r="H52" s="18">
        <f t="shared" ref="H52" si="22">H50*H51</f>
        <v>2.5</v>
      </c>
      <c r="I52" s="18">
        <f t="shared" ref="I52" si="23">I50*I51</f>
        <v>0</v>
      </c>
      <c r="J52" s="18">
        <f t="shared" ref="J52" si="24">J50*J51</f>
        <v>18</v>
      </c>
      <c r="K52" s="18">
        <f t="shared" ref="K52" si="25">K50*K51</f>
        <v>30.25</v>
      </c>
      <c r="L52" s="18">
        <f t="shared" ref="L52" si="26">L50*L51</f>
        <v>54</v>
      </c>
      <c r="M52" s="18">
        <f t="shared" ref="M52" si="27">M50*M51</f>
        <v>2</v>
      </c>
      <c r="N52" s="19">
        <f>SUM(B52:M52)</f>
        <v>342.75</v>
      </c>
    </row>
    <row r="54" spans="1:14" ht="27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4" x14ac:dyDescent="0.25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4" x14ac:dyDescent="0.25">
      <c r="A56" s="37" t="s">
        <v>49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9" customHeight="1" x14ac:dyDescent="0.25"/>
    <row r="58" spans="1:14" ht="75" x14ac:dyDescent="0.25">
      <c r="A58" s="1" t="s">
        <v>0</v>
      </c>
      <c r="B58" s="2" t="s">
        <v>1</v>
      </c>
      <c r="C58" s="2" t="s">
        <v>2</v>
      </c>
      <c r="D58" s="2" t="s">
        <v>45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7" t="s">
        <v>47</v>
      </c>
    </row>
    <row r="59" spans="1:14" x14ac:dyDescent="0.25">
      <c r="A59" s="31" t="s">
        <v>50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3"/>
      <c r="N59" s="8"/>
    </row>
    <row r="60" spans="1:14" ht="45" x14ac:dyDescent="0.25">
      <c r="A60" s="4" t="s">
        <v>110</v>
      </c>
      <c r="B60" s="3">
        <f t="shared" ref="B60:M60" si="28">(B14+B25+B36+B47)</f>
        <v>65</v>
      </c>
      <c r="C60" s="3">
        <f t="shared" si="28"/>
        <v>38</v>
      </c>
      <c r="D60" s="3">
        <f t="shared" si="28"/>
        <v>27</v>
      </c>
      <c r="E60" s="3">
        <f t="shared" si="28"/>
        <v>4</v>
      </c>
      <c r="F60" s="3">
        <f t="shared" si="28"/>
        <v>19</v>
      </c>
      <c r="G60" s="3">
        <f t="shared" si="28"/>
        <v>12</v>
      </c>
      <c r="H60" s="3">
        <f t="shared" si="28"/>
        <v>4</v>
      </c>
      <c r="I60" s="3">
        <f t="shared" si="28"/>
        <v>0</v>
      </c>
      <c r="J60" s="3">
        <f t="shared" si="28"/>
        <v>4</v>
      </c>
      <c r="K60" s="3">
        <f t="shared" si="28"/>
        <v>0</v>
      </c>
      <c r="L60" s="3">
        <f t="shared" si="28"/>
        <v>0</v>
      </c>
      <c r="M60" s="3">
        <f t="shared" si="28"/>
        <v>0</v>
      </c>
      <c r="N60" s="20">
        <f>SUM(B60:M60)</f>
        <v>173</v>
      </c>
    </row>
    <row r="61" spans="1:14" ht="45" x14ac:dyDescent="0.25">
      <c r="A61" s="4" t="s">
        <v>111</v>
      </c>
      <c r="B61" s="3">
        <f t="shared" ref="B61:M61" si="29">(B15+B26+B37+B48)</f>
        <v>75</v>
      </c>
      <c r="C61" s="3">
        <f t="shared" si="29"/>
        <v>118</v>
      </c>
      <c r="D61" s="3">
        <f t="shared" si="29"/>
        <v>87</v>
      </c>
      <c r="E61" s="3">
        <f t="shared" si="29"/>
        <v>21</v>
      </c>
      <c r="F61" s="3">
        <f t="shared" si="29"/>
        <v>31</v>
      </c>
      <c r="G61" s="3">
        <f t="shared" si="29"/>
        <v>19</v>
      </c>
      <c r="H61" s="3">
        <f t="shared" si="29"/>
        <v>2</v>
      </c>
      <c r="I61" s="3">
        <f t="shared" si="29"/>
        <v>0</v>
      </c>
      <c r="J61" s="3">
        <f t="shared" si="29"/>
        <v>32</v>
      </c>
      <c r="K61" s="3">
        <f t="shared" si="29"/>
        <v>24</v>
      </c>
      <c r="L61" s="3">
        <f t="shared" si="29"/>
        <v>60</v>
      </c>
      <c r="M61" s="3">
        <f t="shared" si="29"/>
        <v>1</v>
      </c>
      <c r="N61" s="20">
        <f>SUM(B61:M61)</f>
        <v>470</v>
      </c>
    </row>
    <row r="62" spans="1:14" ht="45" x14ac:dyDescent="0.25">
      <c r="A62" s="4" t="s">
        <v>112</v>
      </c>
      <c r="B62" s="3">
        <f t="shared" ref="B62:M62" si="30">(B16+B27+B38+B49)</f>
        <v>14</v>
      </c>
      <c r="C62" s="3">
        <f t="shared" si="30"/>
        <v>160</v>
      </c>
      <c r="D62" s="3">
        <f t="shared" si="30"/>
        <v>82</v>
      </c>
      <c r="E62" s="3">
        <f t="shared" si="30"/>
        <v>38</v>
      </c>
      <c r="F62" s="3">
        <f t="shared" si="30"/>
        <v>41</v>
      </c>
      <c r="G62" s="3">
        <f t="shared" si="30"/>
        <v>15</v>
      </c>
      <c r="H62" s="3">
        <f t="shared" si="30"/>
        <v>1</v>
      </c>
      <c r="I62" s="3">
        <f t="shared" si="30"/>
        <v>2</v>
      </c>
      <c r="J62" s="3">
        <f t="shared" si="30"/>
        <v>23</v>
      </c>
      <c r="K62" s="3">
        <f t="shared" si="30"/>
        <v>11</v>
      </c>
      <c r="L62" s="3">
        <f t="shared" si="30"/>
        <v>34</v>
      </c>
      <c r="M62" s="3">
        <f t="shared" si="30"/>
        <v>0</v>
      </c>
      <c r="N62" s="20">
        <f>SUM(B62:M62)</f>
        <v>421</v>
      </c>
    </row>
    <row r="63" spans="1:14" x14ac:dyDescent="0.25">
      <c r="A63" s="10" t="s">
        <v>46</v>
      </c>
      <c r="B63" s="11">
        <f t="shared" ref="B63:M63" si="31">SUM(B60:B62)</f>
        <v>154</v>
      </c>
      <c r="C63" s="11">
        <f t="shared" si="31"/>
        <v>316</v>
      </c>
      <c r="D63" s="11">
        <f t="shared" si="31"/>
        <v>196</v>
      </c>
      <c r="E63" s="11">
        <f t="shared" si="31"/>
        <v>63</v>
      </c>
      <c r="F63" s="11">
        <f t="shared" si="31"/>
        <v>91</v>
      </c>
      <c r="G63" s="11">
        <f t="shared" si="31"/>
        <v>46</v>
      </c>
      <c r="H63" s="11">
        <f t="shared" si="31"/>
        <v>7</v>
      </c>
      <c r="I63" s="11">
        <f t="shared" si="31"/>
        <v>2</v>
      </c>
      <c r="J63" s="11">
        <f t="shared" si="31"/>
        <v>59</v>
      </c>
      <c r="K63" s="11">
        <f t="shared" si="31"/>
        <v>35</v>
      </c>
      <c r="L63" s="11">
        <f t="shared" si="31"/>
        <v>94</v>
      </c>
      <c r="M63" s="11">
        <f t="shared" si="31"/>
        <v>1</v>
      </c>
      <c r="N63" s="11">
        <f>SUM(B63:M63)</f>
        <v>1064</v>
      </c>
    </row>
    <row r="64" spans="1:14" ht="30" x14ac:dyDescent="0.25">
      <c r="A64" s="16" t="s">
        <v>44</v>
      </c>
      <c r="B64" s="17">
        <v>0.5</v>
      </c>
      <c r="C64" s="17">
        <v>1</v>
      </c>
      <c r="D64" s="17">
        <v>1</v>
      </c>
      <c r="E64" s="17">
        <v>1.75</v>
      </c>
      <c r="F64" s="17">
        <v>1.75</v>
      </c>
      <c r="G64" s="17">
        <v>2</v>
      </c>
      <c r="H64" s="17">
        <v>2.5</v>
      </c>
      <c r="I64" s="17">
        <v>1.25</v>
      </c>
      <c r="J64" s="17">
        <v>1.5</v>
      </c>
      <c r="K64" s="17">
        <v>2.75</v>
      </c>
      <c r="L64" s="17">
        <v>3</v>
      </c>
      <c r="M64" s="17">
        <v>2</v>
      </c>
      <c r="N64" s="8"/>
    </row>
    <row r="65" spans="1:14" ht="45" x14ac:dyDescent="0.25">
      <c r="A65" s="9" t="s">
        <v>48</v>
      </c>
      <c r="B65" s="18">
        <f>B63*B64</f>
        <v>77</v>
      </c>
      <c r="C65" s="18">
        <f t="shared" ref="C65:M65" si="32">C63*C64</f>
        <v>316</v>
      </c>
      <c r="D65" s="18">
        <f t="shared" si="32"/>
        <v>196</v>
      </c>
      <c r="E65" s="18">
        <f t="shared" si="32"/>
        <v>110.25</v>
      </c>
      <c r="F65" s="18">
        <f t="shared" si="32"/>
        <v>159.25</v>
      </c>
      <c r="G65" s="18">
        <f t="shared" si="32"/>
        <v>92</v>
      </c>
      <c r="H65" s="18">
        <f t="shared" si="32"/>
        <v>17.5</v>
      </c>
      <c r="I65" s="18">
        <f t="shared" si="32"/>
        <v>2.5</v>
      </c>
      <c r="J65" s="18">
        <f t="shared" si="32"/>
        <v>88.5</v>
      </c>
      <c r="K65" s="18">
        <f t="shared" si="32"/>
        <v>96.25</v>
      </c>
      <c r="L65" s="18">
        <f t="shared" si="32"/>
        <v>282</v>
      </c>
      <c r="M65" s="18">
        <f t="shared" si="32"/>
        <v>2</v>
      </c>
      <c r="N65" s="19">
        <f>SUM(B65:M65)</f>
        <v>1439.25</v>
      </c>
    </row>
    <row r="67" spans="1:14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>
        <f>ROUND(N65/(MAX(N19,N30,N41,N52)*4),2)</f>
        <v>0.87</v>
      </c>
    </row>
    <row r="73" spans="1:14" ht="34.5" customHeight="1" x14ac:dyDescent="0.25"/>
    <row r="82" spans="1:13" x14ac:dyDescent="0.25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25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</sheetData>
  <mergeCells count="13">
    <mergeCell ref="A35:M35"/>
    <mergeCell ref="A46:M46"/>
    <mergeCell ref="A56:N56"/>
    <mergeCell ref="A59:M59"/>
    <mergeCell ref="A3:N3"/>
    <mergeCell ref="A1:N1"/>
    <mergeCell ref="A13:M13"/>
    <mergeCell ref="A24:M24"/>
    <mergeCell ref="A10:N10"/>
    <mergeCell ref="A9:N9"/>
    <mergeCell ref="A7:N7"/>
    <mergeCell ref="A6:N6"/>
    <mergeCell ref="A5:N5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4"/>
  <sheetViews>
    <sheetView view="pageBreakPreview" zoomScaleNormal="100" zoomScaleSheetLayoutView="100" workbookViewId="0">
      <selection activeCell="A4" sqref="A4"/>
    </sheetView>
  </sheetViews>
  <sheetFormatPr defaultRowHeight="15" x14ac:dyDescent="0.25"/>
  <cols>
    <col min="1" max="1" width="12.5703125" customWidth="1"/>
  </cols>
  <sheetData>
    <row r="1" spans="1:14" x14ac:dyDescent="0.25">
      <c r="A1" s="30" t="s">
        <v>100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8" t="str">
        <f>'7-8AM'!A3:N3</f>
        <v>ROAD: NAIROBI - MOMBASA (A8) ROAD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9" customHeight="1" x14ac:dyDescent="0.25"/>
    <row r="5" spans="1:14" x14ac:dyDescent="0.25">
      <c r="A5" s="39" t="str">
        <f>'7-8AM'!A5:N5</f>
        <v>SITE: ATHI RIVER AREA, MACHAKOS COUNTY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9" t="str">
        <f>'7-8AM'!A6:N6</f>
        <v>PROJECT: EXISTING COMMERCIAL DEVELOPMENT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x14ac:dyDescent="0.25">
      <c r="A7" s="39" t="str">
        <f>'7-8AM'!A7:N7</f>
        <v>C/O: CRYSTAL RIVERS MALL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7.5" customHeight="1" x14ac:dyDescent="0.25"/>
    <row r="9" spans="1:14" x14ac:dyDescent="0.25">
      <c r="A9" s="35" t="s">
        <v>17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34" t="s">
        <v>43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ht="9" customHeight="1" x14ac:dyDescent="0.25"/>
    <row r="12" spans="1:14" ht="71.25" customHeight="1" x14ac:dyDescent="0.25">
      <c r="A12" s="1" t="s">
        <v>0</v>
      </c>
      <c r="B12" s="2" t="s">
        <v>1</v>
      </c>
      <c r="C12" s="2" t="s">
        <v>2</v>
      </c>
      <c r="D12" s="2" t="s">
        <v>45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7" t="s">
        <v>47</v>
      </c>
    </row>
    <row r="13" spans="1:14" ht="20.25" customHeight="1" x14ac:dyDescent="0.25">
      <c r="A13" s="31" t="s">
        <v>18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8"/>
    </row>
    <row r="14" spans="1:14" ht="28.5" customHeight="1" x14ac:dyDescent="0.25">
      <c r="A14" s="4" t="s">
        <v>110</v>
      </c>
      <c r="B14" s="3">
        <v>35</v>
      </c>
      <c r="C14" s="3">
        <v>19</v>
      </c>
      <c r="D14" s="3">
        <v>9</v>
      </c>
      <c r="E14" s="3">
        <v>1</v>
      </c>
      <c r="F14" s="3">
        <v>6</v>
      </c>
      <c r="G14" s="3">
        <v>1</v>
      </c>
      <c r="H14" s="3">
        <v>0</v>
      </c>
      <c r="I14" s="3">
        <v>1</v>
      </c>
      <c r="J14" s="3">
        <v>0</v>
      </c>
      <c r="K14" s="3">
        <v>0</v>
      </c>
      <c r="L14" s="3">
        <v>0</v>
      </c>
      <c r="M14" s="3">
        <v>0</v>
      </c>
      <c r="N14" s="20">
        <f>SUM(B14:M14)</f>
        <v>72</v>
      </c>
    </row>
    <row r="15" spans="1:14" ht="31.5" customHeight="1" x14ac:dyDescent="0.25">
      <c r="A15" s="4" t="s">
        <v>111</v>
      </c>
      <c r="B15" s="3">
        <v>9</v>
      </c>
      <c r="C15" s="3">
        <v>27</v>
      </c>
      <c r="D15" s="3">
        <v>20</v>
      </c>
      <c r="E15" s="3">
        <v>8</v>
      </c>
      <c r="F15" s="3">
        <v>6</v>
      </c>
      <c r="G15" s="3">
        <v>3</v>
      </c>
      <c r="H15" s="3">
        <v>0</v>
      </c>
      <c r="I15" s="3">
        <v>0</v>
      </c>
      <c r="J15" s="3">
        <v>9</v>
      </c>
      <c r="K15" s="3">
        <v>4</v>
      </c>
      <c r="L15" s="3">
        <v>22</v>
      </c>
      <c r="M15" s="3">
        <v>1</v>
      </c>
      <c r="N15" s="20">
        <f>SUM(B15:M15)</f>
        <v>109</v>
      </c>
    </row>
    <row r="16" spans="1:14" ht="27" customHeight="1" x14ac:dyDescent="0.25">
      <c r="A16" s="4" t="s">
        <v>112</v>
      </c>
      <c r="B16" s="3">
        <v>5</v>
      </c>
      <c r="C16" s="3">
        <v>46</v>
      </c>
      <c r="D16" s="3">
        <v>36</v>
      </c>
      <c r="E16" s="3">
        <v>5</v>
      </c>
      <c r="F16" s="3">
        <v>7</v>
      </c>
      <c r="G16" s="3">
        <v>0</v>
      </c>
      <c r="H16" s="3">
        <v>1</v>
      </c>
      <c r="I16" s="3">
        <v>0</v>
      </c>
      <c r="J16" s="3">
        <v>3</v>
      </c>
      <c r="K16" s="3">
        <v>4</v>
      </c>
      <c r="L16" s="3">
        <v>8</v>
      </c>
      <c r="M16" s="3">
        <v>0</v>
      </c>
      <c r="N16" s="20">
        <f>SUM(B16:M16)</f>
        <v>115</v>
      </c>
    </row>
    <row r="17" spans="1:14" ht="47.25" customHeight="1" x14ac:dyDescent="0.25">
      <c r="A17" s="10" t="s">
        <v>46</v>
      </c>
      <c r="B17" s="11">
        <f t="shared" ref="B17:M17" si="0">SUM(B14:B16)</f>
        <v>49</v>
      </c>
      <c r="C17" s="11">
        <f t="shared" si="0"/>
        <v>92</v>
      </c>
      <c r="D17" s="11">
        <f t="shared" si="0"/>
        <v>65</v>
      </c>
      <c r="E17" s="11">
        <f t="shared" si="0"/>
        <v>14</v>
      </c>
      <c r="F17" s="11">
        <f t="shared" si="0"/>
        <v>19</v>
      </c>
      <c r="G17" s="11">
        <f t="shared" si="0"/>
        <v>4</v>
      </c>
      <c r="H17" s="11">
        <f t="shared" si="0"/>
        <v>1</v>
      </c>
      <c r="I17" s="11">
        <f t="shared" si="0"/>
        <v>1</v>
      </c>
      <c r="J17" s="11">
        <f t="shared" si="0"/>
        <v>12</v>
      </c>
      <c r="K17" s="11">
        <f t="shared" si="0"/>
        <v>8</v>
      </c>
      <c r="L17" s="11">
        <f t="shared" si="0"/>
        <v>30</v>
      </c>
      <c r="M17" s="11">
        <f t="shared" si="0"/>
        <v>1</v>
      </c>
      <c r="N17" s="11">
        <f>SUM(B17:M17)</f>
        <v>296</v>
      </c>
    </row>
    <row r="18" spans="1:14" ht="30" x14ac:dyDescent="0.25">
      <c r="A18" s="16" t="s">
        <v>44</v>
      </c>
      <c r="B18" s="17">
        <v>0.5</v>
      </c>
      <c r="C18" s="17">
        <v>1</v>
      </c>
      <c r="D18" s="17">
        <v>1</v>
      </c>
      <c r="E18" s="17">
        <v>1.75</v>
      </c>
      <c r="F18" s="17">
        <v>1.75</v>
      </c>
      <c r="G18" s="17">
        <v>2</v>
      </c>
      <c r="H18" s="17">
        <v>2.5</v>
      </c>
      <c r="I18" s="17">
        <v>1.25</v>
      </c>
      <c r="J18" s="17">
        <v>1.5</v>
      </c>
      <c r="K18" s="17">
        <v>2.75</v>
      </c>
      <c r="L18" s="17">
        <v>3</v>
      </c>
      <c r="M18" s="17">
        <v>2</v>
      </c>
      <c r="N18" s="8"/>
    </row>
    <row r="19" spans="1:14" ht="45" x14ac:dyDescent="0.25">
      <c r="A19" s="9" t="s">
        <v>48</v>
      </c>
      <c r="B19" s="18">
        <f>B17*B18</f>
        <v>24.5</v>
      </c>
      <c r="C19" s="18">
        <f t="shared" ref="C19:M19" si="1">C17*C18</f>
        <v>92</v>
      </c>
      <c r="D19" s="18">
        <f t="shared" si="1"/>
        <v>65</v>
      </c>
      <c r="E19" s="18">
        <f t="shared" si="1"/>
        <v>24.5</v>
      </c>
      <c r="F19" s="18">
        <f t="shared" si="1"/>
        <v>33.25</v>
      </c>
      <c r="G19" s="18">
        <f t="shared" si="1"/>
        <v>8</v>
      </c>
      <c r="H19" s="18">
        <f t="shared" si="1"/>
        <v>2.5</v>
      </c>
      <c r="I19" s="18">
        <f t="shared" si="1"/>
        <v>1.25</v>
      </c>
      <c r="J19" s="18">
        <f t="shared" si="1"/>
        <v>18</v>
      </c>
      <c r="K19" s="18">
        <f t="shared" si="1"/>
        <v>22</v>
      </c>
      <c r="L19" s="18">
        <f t="shared" si="1"/>
        <v>90</v>
      </c>
      <c r="M19" s="18">
        <f t="shared" si="1"/>
        <v>2</v>
      </c>
      <c r="N19" s="19">
        <f>SUM(B19:M19)</f>
        <v>383</v>
      </c>
    </row>
    <row r="20" spans="1:14" x14ac:dyDescent="0.25">
      <c r="A20" s="5"/>
    </row>
    <row r="21" spans="1:14" x14ac:dyDescent="0.25">
      <c r="A21" s="5"/>
    </row>
    <row r="22" spans="1:14" x14ac:dyDescent="0.25">
      <c r="A22" s="5"/>
    </row>
    <row r="23" spans="1:14" ht="75" x14ac:dyDescent="0.25">
      <c r="A23" s="1" t="s">
        <v>0</v>
      </c>
      <c r="B23" s="2" t="s">
        <v>1</v>
      </c>
      <c r="C23" s="2" t="s">
        <v>2</v>
      </c>
      <c r="D23" s="2" t="s">
        <v>45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  <c r="N23" s="7" t="s">
        <v>47</v>
      </c>
    </row>
    <row r="24" spans="1:14" x14ac:dyDescent="0.25">
      <c r="A24" s="31" t="s">
        <v>19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8"/>
    </row>
    <row r="25" spans="1:14" ht="27" customHeight="1" x14ac:dyDescent="0.25">
      <c r="A25" s="4" t="s">
        <v>110</v>
      </c>
      <c r="B25" s="3">
        <v>32</v>
      </c>
      <c r="C25" s="3">
        <v>13</v>
      </c>
      <c r="D25" s="3">
        <v>8</v>
      </c>
      <c r="E25" s="3">
        <v>2</v>
      </c>
      <c r="F25" s="3">
        <v>4</v>
      </c>
      <c r="G25" s="3">
        <v>0</v>
      </c>
      <c r="H25" s="3">
        <v>0</v>
      </c>
      <c r="I25" s="3">
        <v>0</v>
      </c>
      <c r="J25" s="3">
        <v>2</v>
      </c>
      <c r="K25" s="3">
        <v>1</v>
      </c>
      <c r="L25" s="3">
        <v>0</v>
      </c>
      <c r="M25" s="3">
        <v>0</v>
      </c>
      <c r="N25" s="20">
        <f>SUM(B25:M25)</f>
        <v>62</v>
      </c>
    </row>
    <row r="26" spans="1:14" ht="45" x14ac:dyDescent="0.25">
      <c r="A26" s="4" t="s">
        <v>111</v>
      </c>
      <c r="B26" s="3">
        <v>5</v>
      </c>
      <c r="C26" s="3">
        <v>23</v>
      </c>
      <c r="D26" s="3">
        <v>22</v>
      </c>
      <c r="E26" s="3">
        <v>3</v>
      </c>
      <c r="F26" s="3">
        <v>8</v>
      </c>
      <c r="G26" s="3">
        <v>2</v>
      </c>
      <c r="H26" s="3">
        <v>0</v>
      </c>
      <c r="I26" s="3">
        <v>0</v>
      </c>
      <c r="J26" s="3">
        <v>13</v>
      </c>
      <c r="K26" s="3">
        <v>9</v>
      </c>
      <c r="L26" s="3">
        <v>23</v>
      </c>
      <c r="M26" s="3">
        <v>0</v>
      </c>
      <c r="N26" s="20">
        <f>SUM(B26:M26)</f>
        <v>108</v>
      </c>
    </row>
    <row r="27" spans="1:14" ht="45" x14ac:dyDescent="0.25">
      <c r="A27" s="4" t="s">
        <v>112</v>
      </c>
      <c r="B27" s="3">
        <v>1</v>
      </c>
      <c r="C27" s="3">
        <v>31</v>
      </c>
      <c r="D27" s="3">
        <v>15</v>
      </c>
      <c r="E27" s="3">
        <v>4</v>
      </c>
      <c r="F27" s="3">
        <v>3</v>
      </c>
      <c r="G27" s="3">
        <v>1</v>
      </c>
      <c r="H27" s="3">
        <v>0</v>
      </c>
      <c r="I27" s="3">
        <v>0</v>
      </c>
      <c r="J27" s="3">
        <v>16</v>
      </c>
      <c r="K27" s="3">
        <v>1</v>
      </c>
      <c r="L27" s="3">
        <v>12</v>
      </c>
      <c r="M27" s="3">
        <v>0</v>
      </c>
      <c r="N27" s="20">
        <f>SUM(B27:M27)</f>
        <v>84</v>
      </c>
    </row>
    <row r="28" spans="1:14" x14ac:dyDescent="0.25">
      <c r="A28" s="10" t="s">
        <v>46</v>
      </c>
      <c r="B28" s="11">
        <f t="shared" ref="B28:M28" si="2">SUM(B25:B27)</f>
        <v>38</v>
      </c>
      <c r="C28" s="11">
        <f t="shared" si="2"/>
        <v>67</v>
      </c>
      <c r="D28" s="11">
        <f t="shared" si="2"/>
        <v>45</v>
      </c>
      <c r="E28" s="11">
        <f t="shared" si="2"/>
        <v>9</v>
      </c>
      <c r="F28" s="11">
        <f t="shared" si="2"/>
        <v>15</v>
      </c>
      <c r="G28" s="11">
        <f t="shared" si="2"/>
        <v>3</v>
      </c>
      <c r="H28" s="11">
        <f t="shared" si="2"/>
        <v>0</v>
      </c>
      <c r="I28" s="11">
        <f t="shared" si="2"/>
        <v>0</v>
      </c>
      <c r="J28" s="11">
        <f t="shared" si="2"/>
        <v>31</v>
      </c>
      <c r="K28" s="11">
        <f t="shared" si="2"/>
        <v>11</v>
      </c>
      <c r="L28" s="11">
        <f t="shared" si="2"/>
        <v>35</v>
      </c>
      <c r="M28" s="11">
        <f t="shared" si="2"/>
        <v>0</v>
      </c>
      <c r="N28" s="11">
        <f>SUM(B28:M28)</f>
        <v>254</v>
      </c>
    </row>
    <row r="29" spans="1:14" ht="30" x14ac:dyDescent="0.25">
      <c r="A29" s="16" t="s">
        <v>44</v>
      </c>
      <c r="B29" s="17">
        <v>0.5</v>
      </c>
      <c r="C29" s="17">
        <v>1</v>
      </c>
      <c r="D29" s="17">
        <v>1</v>
      </c>
      <c r="E29" s="17">
        <v>1.75</v>
      </c>
      <c r="F29" s="17">
        <v>1.75</v>
      </c>
      <c r="G29" s="17">
        <v>2</v>
      </c>
      <c r="H29" s="17">
        <v>2.5</v>
      </c>
      <c r="I29" s="17">
        <v>1.25</v>
      </c>
      <c r="J29" s="17">
        <v>1.5</v>
      </c>
      <c r="K29" s="17">
        <v>2.75</v>
      </c>
      <c r="L29" s="17">
        <v>3</v>
      </c>
      <c r="M29" s="17">
        <v>2</v>
      </c>
      <c r="N29" s="8"/>
    </row>
    <row r="30" spans="1:14" ht="45" x14ac:dyDescent="0.25">
      <c r="A30" s="9" t="s">
        <v>48</v>
      </c>
      <c r="B30" s="18">
        <f>B28*B29</f>
        <v>19</v>
      </c>
      <c r="C30" s="18">
        <f t="shared" ref="C30:M30" si="3">C28*C29</f>
        <v>67</v>
      </c>
      <c r="D30" s="18">
        <f t="shared" si="3"/>
        <v>45</v>
      </c>
      <c r="E30" s="18">
        <f t="shared" si="3"/>
        <v>15.75</v>
      </c>
      <c r="F30" s="18">
        <f t="shared" si="3"/>
        <v>26.25</v>
      </c>
      <c r="G30" s="18">
        <f t="shared" si="3"/>
        <v>6</v>
      </c>
      <c r="H30" s="18">
        <f t="shared" si="3"/>
        <v>0</v>
      </c>
      <c r="I30" s="18">
        <f t="shared" si="3"/>
        <v>0</v>
      </c>
      <c r="J30" s="18">
        <f t="shared" si="3"/>
        <v>46.5</v>
      </c>
      <c r="K30" s="18">
        <f t="shared" si="3"/>
        <v>30.25</v>
      </c>
      <c r="L30" s="18">
        <f t="shared" si="3"/>
        <v>105</v>
      </c>
      <c r="M30" s="18">
        <f t="shared" si="3"/>
        <v>0</v>
      </c>
      <c r="N30" s="19">
        <f>SUM(B30:M30)</f>
        <v>360.75</v>
      </c>
    </row>
    <row r="31" spans="1:14" x14ac:dyDescent="0.25">
      <c r="A31" s="12"/>
    </row>
    <row r="32" spans="1:14" ht="24.75" customHeight="1" x14ac:dyDescent="0.25">
      <c r="A32" s="12"/>
    </row>
    <row r="33" spans="1:14" x14ac:dyDescent="0.25">
      <c r="A33" s="12"/>
    </row>
    <row r="34" spans="1:14" ht="45" customHeight="1" x14ac:dyDescent="0.25">
      <c r="A34" s="1" t="s">
        <v>0</v>
      </c>
      <c r="B34" s="2" t="s">
        <v>1</v>
      </c>
      <c r="C34" s="2" t="s">
        <v>2</v>
      </c>
      <c r="D34" s="2" t="s">
        <v>45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7" t="s">
        <v>47</v>
      </c>
    </row>
    <row r="35" spans="1:14" ht="30.75" customHeight="1" x14ac:dyDescent="0.25">
      <c r="A35" s="31" t="s">
        <v>20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8"/>
    </row>
    <row r="36" spans="1:14" ht="45" x14ac:dyDescent="0.25">
      <c r="A36" s="4" t="s">
        <v>110</v>
      </c>
      <c r="B36" s="3">
        <v>28</v>
      </c>
      <c r="C36" s="3">
        <v>19</v>
      </c>
      <c r="D36" s="3">
        <v>5</v>
      </c>
      <c r="E36" s="3">
        <v>1</v>
      </c>
      <c r="F36" s="3">
        <v>9</v>
      </c>
      <c r="G36" s="3">
        <v>1</v>
      </c>
      <c r="H36" s="3">
        <v>0</v>
      </c>
      <c r="I36" s="3">
        <v>0</v>
      </c>
      <c r="J36" s="3">
        <v>5</v>
      </c>
      <c r="K36" s="3">
        <v>1</v>
      </c>
      <c r="L36" s="3">
        <v>0</v>
      </c>
      <c r="M36" s="3">
        <v>0</v>
      </c>
      <c r="N36" s="20">
        <f>SUM(B36:M36)</f>
        <v>69</v>
      </c>
    </row>
    <row r="37" spans="1:14" ht="45" x14ac:dyDescent="0.25">
      <c r="A37" s="4" t="s">
        <v>111</v>
      </c>
      <c r="B37" s="3">
        <v>4</v>
      </c>
      <c r="C37" s="3">
        <v>25</v>
      </c>
      <c r="D37" s="3">
        <v>19</v>
      </c>
      <c r="E37" s="3">
        <v>8</v>
      </c>
      <c r="F37" s="3">
        <v>0</v>
      </c>
      <c r="G37" s="3">
        <v>0</v>
      </c>
      <c r="H37" s="3">
        <v>0</v>
      </c>
      <c r="I37" s="3">
        <v>0</v>
      </c>
      <c r="J37" s="3">
        <v>18</v>
      </c>
      <c r="K37" s="3">
        <v>7</v>
      </c>
      <c r="L37" s="3">
        <v>14</v>
      </c>
      <c r="M37" s="3">
        <v>0</v>
      </c>
      <c r="N37" s="20">
        <f>SUM(B37:M37)</f>
        <v>95</v>
      </c>
    </row>
    <row r="38" spans="1:14" ht="45" x14ac:dyDescent="0.25">
      <c r="A38" s="4" t="s">
        <v>112</v>
      </c>
      <c r="B38" s="3">
        <v>5</v>
      </c>
      <c r="C38" s="3">
        <v>31</v>
      </c>
      <c r="D38" s="3">
        <v>59</v>
      </c>
      <c r="E38" s="3">
        <v>19</v>
      </c>
      <c r="F38" s="3">
        <v>13</v>
      </c>
      <c r="G38" s="3">
        <v>0</v>
      </c>
      <c r="H38" s="3">
        <v>0</v>
      </c>
      <c r="I38" s="3">
        <v>1</v>
      </c>
      <c r="J38" s="3">
        <v>13</v>
      </c>
      <c r="K38" s="3">
        <v>7</v>
      </c>
      <c r="L38" s="3">
        <v>14</v>
      </c>
      <c r="M38" s="3">
        <v>0</v>
      </c>
      <c r="N38" s="20">
        <f>SUM(B38:M38)</f>
        <v>162</v>
      </c>
    </row>
    <row r="39" spans="1:14" ht="53.25" customHeight="1" x14ac:dyDescent="0.25">
      <c r="A39" s="10" t="s">
        <v>46</v>
      </c>
      <c r="B39" s="11">
        <f t="shared" ref="B39:M39" si="4">SUM(B36:B38)</f>
        <v>37</v>
      </c>
      <c r="C39" s="11">
        <f t="shared" si="4"/>
        <v>75</v>
      </c>
      <c r="D39" s="11">
        <f t="shared" si="4"/>
        <v>83</v>
      </c>
      <c r="E39" s="11">
        <f t="shared" si="4"/>
        <v>28</v>
      </c>
      <c r="F39" s="11">
        <f t="shared" si="4"/>
        <v>22</v>
      </c>
      <c r="G39" s="11">
        <f t="shared" si="4"/>
        <v>1</v>
      </c>
      <c r="H39" s="11">
        <f t="shared" si="4"/>
        <v>0</v>
      </c>
      <c r="I39" s="11">
        <f t="shared" si="4"/>
        <v>1</v>
      </c>
      <c r="J39" s="11">
        <f t="shared" si="4"/>
        <v>36</v>
      </c>
      <c r="K39" s="11">
        <f t="shared" si="4"/>
        <v>15</v>
      </c>
      <c r="L39" s="11">
        <f t="shared" si="4"/>
        <v>28</v>
      </c>
      <c r="M39" s="11">
        <f t="shared" si="4"/>
        <v>0</v>
      </c>
      <c r="N39" s="11">
        <f>SUM(B39:M39)</f>
        <v>326</v>
      </c>
    </row>
    <row r="40" spans="1:14" ht="30" x14ac:dyDescent="0.25">
      <c r="A40" s="16" t="s">
        <v>44</v>
      </c>
      <c r="B40" s="17">
        <v>0.5</v>
      </c>
      <c r="C40" s="17">
        <v>1</v>
      </c>
      <c r="D40" s="17">
        <v>1</v>
      </c>
      <c r="E40" s="17">
        <v>1.75</v>
      </c>
      <c r="F40" s="17">
        <v>1.75</v>
      </c>
      <c r="G40" s="17">
        <v>2</v>
      </c>
      <c r="H40" s="17">
        <v>2.5</v>
      </c>
      <c r="I40" s="17">
        <v>1.25</v>
      </c>
      <c r="J40" s="17">
        <v>1.5</v>
      </c>
      <c r="K40" s="17">
        <v>2.75</v>
      </c>
      <c r="L40" s="17">
        <v>3</v>
      </c>
      <c r="M40" s="17">
        <v>2</v>
      </c>
      <c r="N40" s="8"/>
    </row>
    <row r="41" spans="1:14" ht="45" x14ac:dyDescent="0.25">
      <c r="A41" s="9" t="s">
        <v>48</v>
      </c>
      <c r="B41" s="18">
        <f>B39*B40</f>
        <v>18.5</v>
      </c>
      <c r="C41" s="18">
        <f t="shared" ref="C41:M41" si="5">C39*C40</f>
        <v>75</v>
      </c>
      <c r="D41" s="18">
        <f t="shared" si="5"/>
        <v>83</v>
      </c>
      <c r="E41" s="18">
        <f t="shared" si="5"/>
        <v>49</v>
      </c>
      <c r="F41" s="18">
        <f t="shared" si="5"/>
        <v>38.5</v>
      </c>
      <c r="G41" s="18">
        <f t="shared" si="5"/>
        <v>2</v>
      </c>
      <c r="H41" s="18">
        <f t="shared" si="5"/>
        <v>0</v>
      </c>
      <c r="I41" s="18">
        <f t="shared" si="5"/>
        <v>1.25</v>
      </c>
      <c r="J41" s="18">
        <f t="shared" si="5"/>
        <v>54</v>
      </c>
      <c r="K41" s="18">
        <f t="shared" si="5"/>
        <v>41.25</v>
      </c>
      <c r="L41" s="18">
        <f t="shared" si="5"/>
        <v>84</v>
      </c>
      <c r="M41" s="18">
        <f t="shared" si="5"/>
        <v>0</v>
      </c>
      <c r="N41" s="19">
        <f>SUM(B41:M41)</f>
        <v>446.5</v>
      </c>
    </row>
    <row r="42" spans="1:14" ht="32.25" customHeight="1" x14ac:dyDescent="0.25"/>
    <row r="43" spans="1:14" ht="27.75" customHeight="1" x14ac:dyDescent="0.25"/>
    <row r="45" spans="1:14" ht="75" x14ac:dyDescent="0.25">
      <c r="A45" s="1" t="s">
        <v>0</v>
      </c>
      <c r="B45" s="2" t="s">
        <v>1</v>
      </c>
      <c r="C45" s="2" t="s">
        <v>2</v>
      </c>
      <c r="D45" s="2" t="s">
        <v>45</v>
      </c>
      <c r="E45" s="2" t="s">
        <v>3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8</v>
      </c>
      <c r="K45" s="2" t="s">
        <v>9</v>
      </c>
      <c r="L45" s="2" t="s">
        <v>10</v>
      </c>
      <c r="M45" s="2" t="s">
        <v>11</v>
      </c>
      <c r="N45" s="7" t="s">
        <v>47</v>
      </c>
    </row>
    <row r="46" spans="1:14" ht="21.75" customHeight="1" x14ac:dyDescent="0.25">
      <c r="A46" s="31" t="s">
        <v>72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8"/>
    </row>
    <row r="47" spans="1:14" ht="26.25" customHeight="1" x14ac:dyDescent="0.25">
      <c r="A47" s="4" t="s">
        <v>110</v>
      </c>
      <c r="B47" s="3">
        <v>24</v>
      </c>
      <c r="C47" s="3">
        <v>18</v>
      </c>
      <c r="D47" s="3">
        <v>6</v>
      </c>
      <c r="E47" s="3">
        <v>5</v>
      </c>
      <c r="F47" s="3">
        <v>8</v>
      </c>
      <c r="G47" s="3">
        <v>1</v>
      </c>
      <c r="H47" s="3">
        <v>0</v>
      </c>
      <c r="I47" s="3">
        <v>2</v>
      </c>
      <c r="J47" s="3">
        <v>1</v>
      </c>
      <c r="K47" s="3">
        <v>0</v>
      </c>
      <c r="L47" s="3">
        <v>1</v>
      </c>
      <c r="M47" s="3">
        <v>0</v>
      </c>
      <c r="N47" s="20">
        <f>SUM(B47:M47)</f>
        <v>66</v>
      </c>
    </row>
    <row r="48" spans="1:14" ht="45" x14ac:dyDescent="0.25">
      <c r="A48" s="4" t="s">
        <v>111</v>
      </c>
      <c r="B48" s="3">
        <v>2</v>
      </c>
      <c r="C48" s="3">
        <v>31</v>
      </c>
      <c r="D48" s="3">
        <v>19</v>
      </c>
      <c r="E48" s="3">
        <v>12</v>
      </c>
      <c r="F48" s="3">
        <v>7</v>
      </c>
      <c r="G48" s="3">
        <v>0</v>
      </c>
      <c r="H48" s="3">
        <v>0</v>
      </c>
      <c r="I48" s="3">
        <v>0</v>
      </c>
      <c r="J48" s="3">
        <v>23</v>
      </c>
      <c r="K48" s="3">
        <v>12</v>
      </c>
      <c r="L48" s="3">
        <v>12</v>
      </c>
      <c r="M48" s="3">
        <v>0</v>
      </c>
      <c r="N48" s="20">
        <f>SUM(B48:M48)</f>
        <v>118</v>
      </c>
    </row>
    <row r="49" spans="1:14" ht="28.5" customHeight="1" x14ac:dyDescent="0.25">
      <c r="A49" s="4" t="s">
        <v>112</v>
      </c>
      <c r="B49" s="3">
        <v>0</v>
      </c>
      <c r="C49" s="3">
        <v>32</v>
      </c>
      <c r="D49" s="3">
        <v>44</v>
      </c>
      <c r="E49" s="3">
        <v>17</v>
      </c>
      <c r="F49" s="3">
        <v>2</v>
      </c>
      <c r="G49" s="3">
        <v>1</v>
      </c>
      <c r="H49" s="3">
        <v>0</v>
      </c>
      <c r="I49" s="3">
        <v>2</v>
      </c>
      <c r="J49" s="3">
        <v>13</v>
      </c>
      <c r="K49" s="3">
        <v>16</v>
      </c>
      <c r="L49" s="3">
        <v>18</v>
      </c>
      <c r="M49" s="3">
        <v>0</v>
      </c>
      <c r="N49" s="20">
        <f>SUM(B49:M49)</f>
        <v>145</v>
      </c>
    </row>
    <row r="50" spans="1:14" x14ac:dyDescent="0.25">
      <c r="A50" s="10" t="s">
        <v>46</v>
      </c>
      <c r="B50" s="11">
        <f t="shared" ref="B50:M50" si="6">SUM(B47:B49)</f>
        <v>26</v>
      </c>
      <c r="C50" s="11">
        <f t="shared" si="6"/>
        <v>81</v>
      </c>
      <c r="D50" s="11">
        <f t="shared" si="6"/>
        <v>69</v>
      </c>
      <c r="E50" s="11">
        <f t="shared" si="6"/>
        <v>34</v>
      </c>
      <c r="F50" s="11">
        <f t="shared" si="6"/>
        <v>17</v>
      </c>
      <c r="G50" s="11">
        <f t="shared" si="6"/>
        <v>2</v>
      </c>
      <c r="H50" s="11">
        <f t="shared" si="6"/>
        <v>0</v>
      </c>
      <c r="I50" s="11">
        <f t="shared" si="6"/>
        <v>4</v>
      </c>
      <c r="J50" s="11">
        <f t="shared" si="6"/>
        <v>37</v>
      </c>
      <c r="K50" s="11">
        <f t="shared" si="6"/>
        <v>28</v>
      </c>
      <c r="L50" s="11">
        <f t="shared" si="6"/>
        <v>31</v>
      </c>
      <c r="M50" s="11">
        <f t="shared" si="6"/>
        <v>0</v>
      </c>
      <c r="N50" s="11">
        <f>SUM(B50:M50)</f>
        <v>329</v>
      </c>
    </row>
    <row r="51" spans="1:14" ht="30" x14ac:dyDescent="0.25">
      <c r="A51" s="16" t="s">
        <v>44</v>
      </c>
      <c r="B51" s="17">
        <v>0.5</v>
      </c>
      <c r="C51" s="17">
        <v>1</v>
      </c>
      <c r="D51" s="17">
        <v>1</v>
      </c>
      <c r="E51" s="17">
        <v>1.75</v>
      </c>
      <c r="F51" s="17">
        <v>1.75</v>
      </c>
      <c r="G51" s="17">
        <v>2</v>
      </c>
      <c r="H51" s="17">
        <v>2.5</v>
      </c>
      <c r="I51" s="17">
        <v>1.25</v>
      </c>
      <c r="J51" s="17">
        <v>1.5</v>
      </c>
      <c r="K51" s="17">
        <v>2.75</v>
      </c>
      <c r="L51" s="17">
        <v>3</v>
      </c>
      <c r="M51" s="17">
        <v>2</v>
      </c>
      <c r="N51" s="8"/>
    </row>
    <row r="52" spans="1:14" ht="45" x14ac:dyDescent="0.25">
      <c r="A52" s="9" t="s">
        <v>48</v>
      </c>
      <c r="B52" s="18">
        <f>B50*B51</f>
        <v>13</v>
      </c>
      <c r="C52" s="18">
        <f t="shared" ref="C52:M52" si="7">C50*C51</f>
        <v>81</v>
      </c>
      <c r="D52" s="18">
        <f t="shared" si="7"/>
        <v>69</v>
      </c>
      <c r="E52" s="18">
        <f t="shared" si="7"/>
        <v>59.5</v>
      </c>
      <c r="F52" s="18">
        <f t="shared" si="7"/>
        <v>29.75</v>
      </c>
      <c r="G52" s="18">
        <f t="shared" si="7"/>
        <v>4</v>
      </c>
      <c r="H52" s="18">
        <f t="shared" si="7"/>
        <v>0</v>
      </c>
      <c r="I52" s="18">
        <f t="shared" si="7"/>
        <v>5</v>
      </c>
      <c r="J52" s="18">
        <f t="shared" si="7"/>
        <v>55.5</v>
      </c>
      <c r="K52" s="18">
        <f t="shared" si="7"/>
        <v>77</v>
      </c>
      <c r="L52" s="18">
        <f t="shared" si="7"/>
        <v>93</v>
      </c>
      <c r="M52" s="18">
        <f t="shared" si="7"/>
        <v>0</v>
      </c>
      <c r="N52" s="19">
        <f>SUM(B52:M52)</f>
        <v>486.75</v>
      </c>
    </row>
    <row r="54" spans="1:14" ht="27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4" x14ac:dyDescent="0.25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4" x14ac:dyDescent="0.25">
      <c r="A56" s="37" t="s">
        <v>49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9" customHeight="1" x14ac:dyDescent="0.25"/>
    <row r="58" spans="1:14" ht="75" x14ac:dyDescent="0.25">
      <c r="A58" s="1" t="s">
        <v>0</v>
      </c>
      <c r="B58" s="2" t="s">
        <v>1</v>
      </c>
      <c r="C58" s="2" t="s">
        <v>2</v>
      </c>
      <c r="D58" s="2" t="s">
        <v>45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7" t="s">
        <v>47</v>
      </c>
    </row>
    <row r="59" spans="1:14" x14ac:dyDescent="0.25">
      <c r="A59" s="31" t="s">
        <v>51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3"/>
      <c r="N59" s="8"/>
    </row>
    <row r="60" spans="1:14" ht="45" x14ac:dyDescent="0.25">
      <c r="A60" s="4" t="s">
        <v>110</v>
      </c>
      <c r="B60" s="3">
        <f t="shared" ref="B60:M60" si="8">(B14+B25+B36+B47)</f>
        <v>119</v>
      </c>
      <c r="C60" s="3">
        <f t="shared" si="8"/>
        <v>69</v>
      </c>
      <c r="D60" s="3">
        <f t="shared" si="8"/>
        <v>28</v>
      </c>
      <c r="E60" s="3">
        <f t="shared" si="8"/>
        <v>9</v>
      </c>
      <c r="F60" s="3">
        <f t="shared" si="8"/>
        <v>27</v>
      </c>
      <c r="G60" s="3">
        <f t="shared" si="8"/>
        <v>3</v>
      </c>
      <c r="H60" s="3">
        <f t="shared" si="8"/>
        <v>0</v>
      </c>
      <c r="I60" s="3">
        <f t="shared" si="8"/>
        <v>3</v>
      </c>
      <c r="J60" s="3">
        <f t="shared" si="8"/>
        <v>8</v>
      </c>
      <c r="K60" s="3">
        <f t="shared" si="8"/>
        <v>2</v>
      </c>
      <c r="L60" s="3">
        <f t="shared" si="8"/>
        <v>1</v>
      </c>
      <c r="M60" s="3">
        <f t="shared" si="8"/>
        <v>0</v>
      </c>
      <c r="N60" s="20">
        <f>SUM(B60:M60)</f>
        <v>269</v>
      </c>
    </row>
    <row r="61" spans="1:14" ht="45" x14ac:dyDescent="0.25">
      <c r="A61" s="4" t="s">
        <v>111</v>
      </c>
      <c r="B61" s="3">
        <f t="shared" ref="B61:M61" si="9">(B15+B26+B37+B48)</f>
        <v>20</v>
      </c>
      <c r="C61" s="3">
        <f t="shared" si="9"/>
        <v>106</v>
      </c>
      <c r="D61" s="3">
        <f t="shared" si="9"/>
        <v>80</v>
      </c>
      <c r="E61" s="3">
        <f t="shared" si="9"/>
        <v>31</v>
      </c>
      <c r="F61" s="3">
        <f t="shared" si="9"/>
        <v>21</v>
      </c>
      <c r="G61" s="3">
        <f t="shared" si="9"/>
        <v>5</v>
      </c>
      <c r="H61" s="3">
        <f t="shared" si="9"/>
        <v>0</v>
      </c>
      <c r="I61" s="3">
        <f t="shared" si="9"/>
        <v>0</v>
      </c>
      <c r="J61" s="3">
        <f t="shared" si="9"/>
        <v>63</v>
      </c>
      <c r="K61" s="3">
        <f t="shared" si="9"/>
        <v>32</v>
      </c>
      <c r="L61" s="3">
        <f t="shared" si="9"/>
        <v>71</v>
      </c>
      <c r="M61" s="3">
        <f t="shared" si="9"/>
        <v>1</v>
      </c>
      <c r="N61" s="20">
        <f>SUM(B61:M61)</f>
        <v>430</v>
      </c>
    </row>
    <row r="62" spans="1:14" ht="45" x14ac:dyDescent="0.25">
      <c r="A62" s="4" t="s">
        <v>112</v>
      </c>
      <c r="B62" s="3">
        <f t="shared" ref="B62:M62" si="10">(B16+B27+B38+B49)</f>
        <v>11</v>
      </c>
      <c r="C62" s="3">
        <f t="shared" si="10"/>
        <v>140</v>
      </c>
      <c r="D62" s="3">
        <f t="shared" si="10"/>
        <v>154</v>
      </c>
      <c r="E62" s="3">
        <f t="shared" si="10"/>
        <v>45</v>
      </c>
      <c r="F62" s="3">
        <f t="shared" si="10"/>
        <v>25</v>
      </c>
      <c r="G62" s="3">
        <f t="shared" si="10"/>
        <v>2</v>
      </c>
      <c r="H62" s="3">
        <f t="shared" si="10"/>
        <v>1</v>
      </c>
      <c r="I62" s="3">
        <f t="shared" si="10"/>
        <v>3</v>
      </c>
      <c r="J62" s="3">
        <f t="shared" si="10"/>
        <v>45</v>
      </c>
      <c r="K62" s="3">
        <f t="shared" si="10"/>
        <v>28</v>
      </c>
      <c r="L62" s="3">
        <f t="shared" si="10"/>
        <v>52</v>
      </c>
      <c r="M62" s="3">
        <f t="shared" si="10"/>
        <v>0</v>
      </c>
      <c r="N62" s="20">
        <f>SUM(B62:M62)</f>
        <v>506</v>
      </c>
    </row>
    <row r="63" spans="1:14" x14ac:dyDescent="0.25">
      <c r="A63" s="10" t="s">
        <v>46</v>
      </c>
      <c r="B63" s="11">
        <f t="shared" ref="B63:M63" si="11">SUM(B60:B62)</f>
        <v>150</v>
      </c>
      <c r="C63" s="11">
        <f t="shared" si="11"/>
        <v>315</v>
      </c>
      <c r="D63" s="11">
        <f t="shared" si="11"/>
        <v>262</v>
      </c>
      <c r="E63" s="11">
        <f t="shared" si="11"/>
        <v>85</v>
      </c>
      <c r="F63" s="11">
        <f t="shared" si="11"/>
        <v>73</v>
      </c>
      <c r="G63" s="11">
        <f t="shared" si="11"/>
        <v>10</v>
      </c>
      <c r="H63" s="11">
        <f t="shared" si="11"/>
        <v>1</v>
      </c>
      <c r="I63" s="11">
        <f t="shared" si="11"/>
        <v>6</v>
      </c>
      <c r="J63" s="11">
        <f t="shared" si="11"/>
        <v>116</v>
      </c>
      <c r="K63" s="11">
        <f t="shared" si="11"/>
        <v>62</v>
      </c>
      <c r="L63" s="11">
        <f t="shared" si="11"/>
        <v>124</v>
      </c>
      <c r="M63" s="11">
        <f t="shared" si="11"/>
        <v>1</v>
      </c>
      <c r="N63" s="11">
        <f>SUM(B63:M63)</f>
        <v>1205</v>
      </c>
    </row>
    <row r="64" spans="1:14" ht="30" x14ac:dyDescent="0.25">
      <c r="A64" s="16" t="s">
        <v>44</v>
      </c>
      <c r="B64" s="17">
        <v>0.5</v>
      </c>
      <c r="C64" s="17">
        <v>1</v>
      </c>
      <c r="D64" s="17">
        <v>1</v>
      </c>
      <c r="E64" s="17">
        <v>1.75</v>
      </c>
      <c r="F64" s="17">
        <v>1.75</v>
      </c>
      <c r="G64" s="17">
        <v>2</v>
      </c>
      <c r="H64" s="17">
        <v>2.5</v>
      </c>
      <c r="I64" s="17">
        <v>1.25</v>
      </c>
      <c r="J64" s="17">
        <v>1.5</v>
      </c>
      <c r="K64" s="17">
        <v>2.75</v>
      </c>
      <c r="L64" s="17">
        <v>3</v>
      </c>
      <c r="M64" s="17">
        <v>2</v>
      </c>
      <c r="N64" s="8"/>
    </row>
    <row r="65" spans="1:14" ht="45" x14ac:dyDescent="0.25">
      <c r="A65" s="9" t="s">
        <v>48</v>
      </c>
      <c r="B65" s="18">
        <f>B63*B64</f>
        <v>75</v>
      </c>
      <c r="C65" s="18">
        <f t="shared" ref="C65:M65" si="12">C63*C64</f>
        <v>315</v>
      </c>
      <c r="D65" s="18">
        <f t="shared" si="12"/>
        <v>262</v>
      </c>
      <c r="E65" s="18">
        <f t="shared" si="12"/>
        <v>148.75</v>
      </c>
      <c r="F65" s="18">
        <f t="shared" si="12"/>
        <v>127.75</v>
      </c>
      <c r="G65" s="18">
        <f t="shared" si="12"/>
        <v>20</v>
      </c>
      <c r="H65" s="18">
        <f t="shared" si="12"/>
        <v>2.5</v>
      </c>
      <c r="I65" s="18">
        <f t="shared" si="12"/>
        <v>7.5</v>
      </c>
      <c r="J65" s="18">
        <f t="shared" si="12"/>
        <v>174</v>
      </c>
      <c r="K65" s="18">
        <f t="shared" si="12"/>
        <v>170.5</v>
      </c>
      <c r="L65" s="18">
        <f t="shared" si="12"/>
        <v>372</v>
      </c>
      <c r="M65" s="18">
        <f t="shared" si="12"/>
        <v>2</v>
      </c>
      <c r="N65" s="19">
        <f>SUM(B65:M65)</f>
        <v>1677</v>
      </c>
    </row>
    <row r="67" spans="1:14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>
        <f>ROUND(N65/(MAX(N19,N30,N41,N52)*4),2)</f>
        <v>0.86</v>
      </c>
    </row>
    <row r="73" spans="1:14" ht="34.5" customHeight="1" x14ac:dyDescent="0.25"/>
    <row r="82" spans="1:13" x14ac:dyDescent="0.25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25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</sheetData>
  <mergeCells count="13">
    <mergeCell ref="A9:N9"/>
    <mergeCell ref="A1:N1"/>
    <mergeCell ref="A3:N3"/>
    <mergeCell ref="A5:N5"/>
    <mergeCell ref="A6:N6"/>
    <mergeCell ref="A7:N7"/>
    <mergeCell ref="A59:M59"/>
    <mergeCell ref="A10:N10"/>
    <mergeCell ref="A13:M13"/>
    <mergeCell ref="A24:M24"/>
    <mergeCell ref="A35:M35"/>
    <mergeCell ref="A46:M46"/>
    <mergeCell ref="A56:N56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4"/>
  <sheetViews>
    <sheetView view="pageBreakPreview" zoomScaleNormal="100" zoomScaleSheetLayoutView="100" workbookViewId="0">
      <selection activeCell="A4" sqref="A4"/>
    </sheetView>
  </sheetViews>
  <sheetFormatPr defaultRowHeight="15" x14ac:dyDescent="0.25"/>
  <cols>
    <col min="1" max="1" width="12.5703125" customWidth="1"/>
  </cols>
  <sheetData>
    <row r="1" spans="1:14" x14ac:dyDescent="0.25">
      <c r="A1" s="30" t="s">
        <v>101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8" t="str">
        <f>'7-8AM'!A3:N3</f>
        <v>ROAD: NAIROBI - MOMBASA (A8) ROAD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9" customHeight="1" x14ac:dyDescent="0.25"/>
    <row r="5" spans="1:14" x14ac:dyDescent="0.25">
      <c r="A5" s="39" t="str">
        <f>'7-8AM'!A5:N5</f>
        <v>SITE: ATHI RIVER AREA, MACHAKOS COUNTY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9" t="str">
        <f>'7-8AM'!A6:N6</f>
        <v>PROJECT: EXISTING COMMERCIAL DEVELOPMENT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x14ac:dyDescent="0.25">
      <c r="A7" s="39" t="str">
        <f>'7-8AM'!A7:N7</f>
        <v>C/O: CRYSTAL RIVERS MALL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7.5" customHeight="1" x14ac:dyDescent="0.25"/>
    <row r="9" spans="1:14" x14ac:dyDescent="0.25">
      <c r="A9" s="35" t="s">
        <v>17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34" t="s">
        <v>43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ht="9" customHeight="1" x14ac:dyDescent="0.25"/>
    <row r="12" spans="1:14" ht="71.25" customHeight="1" x14ac:dyDescent="0.25">
      <c r="A12" s="1" t="s">
        <v>0</v>
      </c>
      <c r="B12" s="2" t="s">
        <v>1</v>
      </c>
      <c r="C12" s="2" t="s">
        <v>2</v>
      </c>
      <c r="D12" s="2" t="s">
        <v>45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7" t="s">
        <v>47</v>
      </c>
    </row>
    <row r="13" spans="1:14" ht="20.25" customHeight="1" x14ac:dyDescent="0.25">
      <c r="A13" s="31" t="s">
        <v>90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8"/>
    </row>
    <row r="14" spans="1:14" ht="28.5" customHeight="1" x14ac:dyDescent="0.25">
      <c r="A14" s="4" t="s">
        <v>110</v>
      </c>
      <c r="B14" s="3">
        <v>20</v>
      </c>
      <c r="C14" s="3">
        <v>14</v>
      </c>
      <c r="D14" s="3">
        <v>7</v>
      </c>
      <c r="E14" s="3">
        <v>0</v>
      </c>
      <c r="F14" s="3">
        <v>6</v>
      </c>
      <c r="G14" s="3">
        <v>0</v>
      </c>
      <c r="H14" s="3">
        <v>0</v>
      </c>
      <c r="I14" s="3">
        <v>0</v>
      </c>
      <c r="J14" s="3">
        <v>5</v>
      </c>
      <c r="K14" s="3">
        <v>3</v>
      </c>
      <c r="L14" s="3">
        <v>4</v>
      </c>
      <c r="M14" s="3">
        <v>0</v>
      </c>
      <c r="N14" s="20">
        <f>SUM(B14:M14)</f>
        <v>59</v>
      </c>
    </row>
    <row r="15" spans="1:14" ht="31.5" customHeight="1" x14ac:dyDescent="0.25">
      <c r="A15" s="4" t="s">
        <v>111</v>
      </c>
      <c r="B15" s="3">
        <v>10</v>
      </c>
      <c r="C15" s="3">
        <v>25</v>
      </c>
      <c r="D15" s="3">
        <v>12</v>
      </c>
      <c r="E15" s="3">
        <v>8</v>
      </c>
      <c r="F15" s="3">
        <v>1</v>
      </c>
      <c r="G15" s="3">
        <v>2</v>
      </c>
      <c r="H15" s="3">
        <v>0</v>
      </c>
      <c r="I15" s="3">
        <v>0</v>
      </c>
      <c r="J15" s="3">
        <v>13</v>
      </c>
      <c r="K15" s="3">
        <v>5</v>
      </c>
      <c r="L15" s="3">
        <v>16</v>
      </c>
      <c r="M15" s="3">
        <v>0</v>
      </c>
      <c r="N15" s="20">
        <f>SUM(B15:M15)</f>
        <v>92</v>
      </c>
    </row>
    <row r="16" spans="1:14" ht="27" customHeight="1" x14ac:dyDescent="0.25">
      <c r="A16" s="4" t="s">
        <v>112</v>
      </c>
      <c r="B16" s="3">
        <v>3</v>
      </c>
      <c r="C16" s="3">
        <v>22</v>
      </c>
      <c r="D16" s="3">
        <v>14</v>
      </c>
      <c r="E16" s="3">
        <v>2</v>
      </c>
      <c r="F16" s="3">
        <v>3</v>
      </c>
      <c r="G16" s="3">
        <v>0</v>
      </c>
      <c r="H16" s="3">
        <v>1</v>
      </c>
      <c r="I16" s="3">
        <v>0</v>
      </c>
      <c r="J16" s="3">
        <v>6</v>
      </c>
      <c r="K16" s="3">
        <v>2</v>
      </c>
      <c r="L16" s="3">
        <v>5</v>
      </c>
      <c r="M16" s="3">
        <v>0</v>
      </c>
      <c r="N16" s="20">
        <f>SUM(B16:M16)</f>
        <v>58</v>
      </c>
    </row>
    <row r="17" spans="1:14" ht="47.25" customHeight="1" x14ac:dyDescent="0.25">
      <c r="A17" s="10" t="s">
        <v>46</v>
      </c>
      <c r="B17" s="11">
        <f t="shared" ref="B17:M17" si="0">SUM(B14:B16)</f>
        <v>33</v>
      </c>
      <c r="C17" s="11">
        <f t="shared" si="0"/>
        <v>61</v>
      </c>
      <c r="D17" s="11">
        <f t="shared" si="0"/>
        <v>33</v>
      </c>
      <c r="E17" s="11">
        <f t="shared" si="0"/>
        <v>10</v>
      </c>
      <c r="F17" s="11">
        <f t="shared" si="0"/>
        <v>10</v>
      </c>
      <c r="G17" s="11">
        <f t="shared" si="0"/>
        <v>2</v>
      </c>
      <c r="H17" s="11">
        <f t="shared" si="0"/>
        <v>1</v>
      </c>
      <c r="I17" s="11">
        <f t="shared" si="0"/>
        <v>0</v>
      </c>
      <c r="J17" s="11">
        <f t="shared" si="0"/>
        <v>24</v>
      </c>
      <c r="K17" s="11">
        <f t="shared" si="0"/>
        <v>10</v>
      </c>
      <c r="L17" s="11">
        <f t="shared" si="0"/>
        <v>25</v>
      </c>
      <c r="M17" s="11">
        <f t="shared" si="0"/>
        <v>0</v>
      </c>
      <c r="N17" s="11">
        <f>SUM(B17:M17)</f>
        <v>209</v>
      </c>
    </row>
    <row r="18" spans="1:14" ht="30" x14ac:dyDescent="0.25">
      <c r="A18" s="16" t="s">
        <v>44</v>
      </c>
      <c r="B18" s="17">
        <v>0.5</v>
      </c>
      <c r="C18" s="17">
        <v>1</v>
      </c>
      <c r="D18" s="17">
        <v>1</v>
      </c>
      <c r="E18" s="17">
        <v>1.75</v>
      </c>
      <c r="F18" s="17">
        <v>1.75</v>
      </c>
      <c r="G18" s="17">
        <v>2</v>
      </c>
      <c r="H18" s="17">
        <v>2.5</v>
      </c>
      <c r="I18" s="17">
        <v>1.25</v>
      </c>
      <c r="J18" s="17">
        <v>1.5</v>
      </c>
      <c r="K18" s="17">
        <v>2.75</v>
      </c>
      <c r="L18" s="17">
        <v>3</v>
      </c>
      <c r="M18" s="17">
        <v>2</v>
      </c>
      <c r="N18" s="8"/>
    </row>
    <row r="19" spans="1:14" ht="45" x14ac:dyDescent="0.25">
      <c r="A19" s="9" t="s">
        <v>48</v>
      </c>
      <c r="B19" s="18">
        <f>B17*B18</f>
        <v>16.5</v>
      </c>
      <c r="C19" s="18">
        <f t="shared" ref="C19:M19" si="1">C17*C18</f>
        <v>61</v>
      </c>
      <c r="D19" s="18">
        <f t="shared" si="1"/>
        <v>33</v>
      </c>
      <c r="E19" s="18">
        <f t="shared" si="1"/>
        <v>17.5</v>
      </c>
      <c r="F19" s="18">
        <f t="shared" si="1"/>
        <v>17.5</v>
      </c>
      <c r="G19" s="18">
        <f t="shared" si="1"/>
        <v>4</v>
      </c>
      <c r="H19" s="18">
        <f t="shared" si="1"/>
        <v>2.5</v>
      </c>
      <c r="I19" s="18">
        <f t="shared" si="1"/>
        <v>0</v>
      </c>
      <c r="J19" s="18">
        <f t="shared" si="1"/>
        <v>36</v>
      </c>
      <c r="K19" s="18">
        <f t="shared" si="1"/>
        <v>27.5</v>
      </c>
      <c r="L19" s="18">
        <f t="shared" si="1"/>
        <v>75</v>
      </c>
      <c r="M19" s="18">
        <f t="shared" si="1"/>
        <v>0</v>
      </c>
      <c r="N19" s="19">
        <f>SUM(B19:M19)</f>
        <v>290.5</v>
      </c>
    </row>
    <row r="20" spans="1:14" x14ac:dyDescent="0.25">
      <c r="A20" s="5"/>
    </row>
    <row r="21" spans="1:14" x14ac:dyDescent="0.25">
      <c r="A21" s="5"/>
    </row>
    <row r="22" spans="1:14" x14ac:dyDescent="0.25">
      <c r="A22" s="5"/>
    </row>
    <row r="23" spans="1:14" ht="75" x14ac:dyDescent="0.25">
      <c r="A23" s="1" t="s">
        <v>0</v>
      </c>
      <c r="B23" s="2" t="s">
        <v>1</v>
      </c>
      <c r="C23" s="2" t="s">
        <v>2</v>
      </c>
      <c r="D23" s="2" t="s">
        <v>45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  <c r="N23" s="7" t="s">
        <v>47</v>
      </c>
    </row>
    <row r="24" spans="1:14" x14ac:dyDescent="0.25">
      <c r="A24" s="31" t="s">
        <v>78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8"/>
    </row>
    <row r="25" spans="1:14" ht="27" customHeight="1" x14ac:dyDescent="0.25">
      <c r="A25" s="4" t="s">
        <v>110</v>
      </c>
      <c r="B25" s="3">
        <v>20</v>
      </c>
      <c r="C25" s="3">
        <v>10</v>
      </c>
      <c r="D25" s="3">
        <v>5</v>
      </c>
      <c r="E25" s="3">
        <v>2</v>
      </c>
      <c r="F25" s="3">
        <v>5</v>
      </c>
      <c r="G25" s="3">
        <v>1</v>
      </c>
      <c r="H25" s="3">
        <v>0</v>
      </c>
      <c r="I25" s="3">
        <v>0</v>
      </c>
      <c r="J25" s="3">
        <v>6</v>
      </c>
      <c r="K25" s="3">
        <v>0</v>
      </c>
      <c r="L25" s="3">
        <v>0</v>
      </c>
      <c r="M25" s="3">
        <v>0</v>
      </c>
      <c r="N25" s="20">
        <f>SUM(B25:M25)</f>
        <v>49</v>
      </c>
    </row>
    <row r="26" spans="1:14" ht="45" x14ac:dyDescent="0.25">
      <c r="A26" s="4" t="s">
        <v>111</v>
      </c>
      <c r="B26" s="3">
        <v>10</v>
      </c>
      <c r="C26" s="3">
        <v>24</v>
      </c>
      <c r="D26" s="3">
        <v>14</v>
      </c>
      <c r="E26" s="3">
        <v>6</v>
      </c>
      <c r="F26" s="3">
        <v>3</v>
      </c>
      <c r="G26" s="3">
        <v>3</v>
      </c>
      <c r="H26" s="3">
        <v>0</v>
      </c>
      <c r="I26" s="3">
        <v>0</v>
      </c>
      <c r="J26" s="3">
        <v>16</v>
      </c>
      <c r="K26" s="3">
        <v>4</v>
      </c>
      <c r="L26" s="3">
        <v>20</v>
      </c>
      <c r="M26" s="3">
        <v>0</v>
      </c>
      <c r="N26" s="20">
        <f>SUM(B26:M26)</f>
        <v>100</v>
      </c>
    </row>
    <row r="27" spans="1:14" ht="45" x14ac:dyDescent="0.25">
      <c r="A27" s="4" t="s">
        <v>112</v>
      </c>
      <c r="B27" s="3">
        <v>2</v>
      </c>
      <c r="C27" s="3">
        <v>35</v>
      </c>
      <c r="D27" s="3">
        <v>21</v>
      </c>
      <c r="E27" s="3">
        <v>11</v>
      </c>
      <c r="F27" s="3">
        <v>8</v>
      </c>
      <c r="G27" s="3">
        <v>0</v>
      </c>
      <c r="H27" s="3">
        <v>0</v>
      </c>
      <c r="I27" s="3">
        <v>0</v>
      </c>
      <c r="J27" s="3">
        <v>16</v>
      </c>
      <c r="K27" s="3">
        <v>2</v>
      </c>
      <c r="L27" s="3">
        <v>11</v>
      </c>
      <c r="M27" s="3">
        <v>0</v>
      </c>
      <c r="N27" s="20">
        <f>SUM(B27:M27)</f>
        <v>106</v>
      </c>
    </row>
    <row r="28" spans="1:14" x14ac:dyDescent="0.25">
      <c r="A28" s="10" t="s">
        <v>46</v>
      </c>
      <c r="B28" s="11">
        <f t="shared" ref="B28:M28" si="2">SUM(B25:B27)</f>
        <v>32</v>
      </c>
      <c r="C28" s="11">
        <f t="shared" si="2"/>
        <v>69</v>
      </c>
      <c r="D28" s="11">
        <f t="shared" si="2"/>
        <v>40</v>
      </c>
      <c r="E28" s="11">
        <f t="shared" si="2"/>
        <v>19</v>
      </c>
      <c r="F28" s="11">
        <f t="shared" si="2"/>
        <v>16</v>
      </c>
      <c r="G28" s="11">
        <f t="shared" si="2"/>
        <v>4</v>
      </c>
      <c r="H28" s="11">
        <f t="shared" si="2"/>
        <v>0</v>
      </c>
      <c r="I28" s="11">
        <f t="shared" si="2"/>
        <v>0</v>
      </c>
      <c r="J28" s="11">
        <f t="shared" si="2"/>
        <v>38</v>
      </c>
      <c r="K28" s="11">
        <f t="shared" si="2"/>
        <v>6</v>
      </c>
      <c r="L28" s="11">
        <f t="shared" si="2"/>
        <v>31</v>
      </c>
      <c r="M28" s="11">
        <f t="shared" si="2"/>
        <v>0</v>
      </c>
      <c r="N28" s="11">
        <f>SUM(B28:M28)</f>
        <v>255</v>
      </c>
    </row>
    <row r="29" spans="1:14" ht="30" x14ac:dyDescent="0.25">
      <c r="A29" s="16" t="s">
        <v>44</v>
      </c>
      <c r="B29" s="17">
        <v>0.5</v>
      </c>
      <c r="C29" s="17">
        <v>1</v>
      </c>
      <c r="D29" s="17">
        <v>1</v>
      </c>
      <c r="E29" s="17">
        <v>1.75</v>
      </c>
      <c r="F29" s="17">
        <v>1.75</v>
      </c>
      <c r="G29" s="17">
        <v>2</v>
      </c>
      <c r="H29" s="17">
        <v>2.5</v>
      </c>
      <c r="I29" s="17">
        <v>1.25</v>
      </c>
      <c r="J29" s="17">
        <v>1.5</v>
      </c>
      <c r="K29" s="17">
        <v>2.75</v>
      </c>
      <c r="L29" s="17">
        <v>3</v>
      </c>
      <c r="M29" s="17">
        <v>2</v>
      </c>
      <c r="N29" s="8"/>
    </row>
    <row r="30" spans="1:14" ht="45" x14ac:dyDescent="0.25">
      <c r="A30" s="9" t="s">
        <v>48</v>
      </c>
      <c r="B30" s="18">
        <f>B28*B29</f>
        <v>16</v>
      </c>
      <c r="C30" s="18">
        <f t="shared" ref="C30:M30" si="3">C28*C29</f>
        <v>69</v>
      </c>
      <c r="D30" s="18">
        <f t="shared" si="3"/>
        <v>40</v>
      </c>
      <c r="E30" s="18">
        <f t="shared" si="3"/>
        <v>33.25</v>
      </c>
      <c r="F30" s="18">
        <f t="shared" si="3"/>
        <v>28</v>
      </c>
      <c r="G30" s="18">
        <f t="shared" si="3"/>
        <v>8</v>
      </c>
      <c r="H30" s="18">
        <f t="shared" si="3"/>
        <v>0</v>
      </c>
      <c r="I30" s="18">
        <f t="shared" si="3"/>
        <v>0</v>
      </c>
      <c r="J30" s="18">
        <f t="shared" si="3"/>
        <v>57</v>
      </c>
      <c r="K30" s="18">
        <f t="shared" si="3"/>
        <v>16.5</v>
      </c>
      <c r="L30" s="18">
        <f t="shared" si="3"/>
        <v>93</v>
      </c>
      <c r="M30" s="18">
        <f t="shared" si="3"/>
        <v>0</v>
      </c>
      <c r="N30" s="19">
        <f>SUM(B30:M30)</f>
        <v>360.75</v>
      </c>
    </row>
    <row r="31" spans="1:14" x14ac:dyDescent="0.25">
      <c r="A31" s="12"/>
    </row>
    <row r="32" spans="1:14" ht="24.75" customHeight="1" x14ac:dyDescent="0.25">
      <c r="A32" s="12"/>
    </row>
    <row r="33" spans="1:14" x14ac:dyDescent="0.25">
      <c r="A33" s="12"/>
    </row>
    <row r="34" spans="1:14" ht="45" customHeight="1" x14ac:dyDescent="0.25">
      <c r="A34" s="1" t="s">
        <v>0</v>
      </c>
      <c r="B34" s="2" t="s">
        <v>1</v>
      </c>
      <c r="C34" s="2" t="s">
        <v>2</v>
      </c>
      <c r="D34" s="2" t="s">
        <v>45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7" t="s">
        <v>47</v>
      </c>
    </row>
    <row r="35" spans="1:14" ht="30.75" customHeight="1" x14ac:dyDescent="0.25">
      <c r="A35" s="31" t="s">
        <v>77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8"/>
    </row>
    <row r="36" spans="1:14" ht="45" x14ac:dyDescent="0.25">
      <c r="A36" s="4" t="s">
        <v>110</v>
      </c>
      <c r="B36" s="3">
        <v>17</v>
      </c>
      <c r="C36" s="3">
        <v>17</v>
      </c>
      <c r="D36" s="3">
        <v>5</v>
      </c>
      <c r="E36" s="3">
        <v>1</v>
      </c>
      <c r="F36" s="3">
        <v>6</v>
      </c>
      <c r="G36" s="3">
        <v>0</v>
      </c>
      <c r="H36" s="3">
        <v>0</v>
      </c>
      <c r="I36" s="3">
        <v>0</v>
      </c>
      <c r="J36" s="3">
        <v>1</v>
      </c>
      <c r="K36" s="3">
        <v>0</v>
      </c>
      <c r="L36" s="3">
        <v>1</v>
      </c>
      <c r="M36" s="3">
        <v>0</v>
      </c>
      <c r="N36" s="20">
        <f>SUM(B36:M36)</f>
        <v>48</v>
      </c>
    </row>
    <row r="37" spans="1:14" ht="45" x14ac:dyDescent="0.25">
      <c r="A37" s="4" t="s">
        <v>111</v>
      </c>
      <c r="B37" s="3">
        <v>20</v>
      </c>
      <c r="C37" s="3">
        <v>24</v>
      </c>
      <c r="D37" s="3">
        <v>9</v>
      </c>
      <c r="E37" s="3">
        <v>2</v>
      </c>
      <c r="F37" s="3">
        <v>2</v>
      </c>
      <c r="G37" s="3">
        <v>0</v>
      </c>
      <c r="H37" s="3">
        <v>0</v>
      </c>
      <c r="I37" s="3">
        <v>0</v>
      </c>
      <c r="J37" s="3">
        <v>12</v>
      </c>
      <c r="K37" s="3">
        <v>6</v>
      </c>
      <c r="L37" s="3">
        <v>25</v>
      </c>
      <c r="M37" s="3">
        <v>0</v>
      </c>
      <c r="N37" s="20">
        <f>SUM(B37:M37)</f>
        <v>100</v>
      </c>
    </row>
    <row r="38" spans="1:14" ht="45" x14ac:dyDescent="0.25">
      <c r="A38" s="4" t="s">
        <v>112</v>
      </c>
      <c r="B38" s="3">
        <v>1</v>
      </c>
      <c r="C38" s="3">
        <v>32</v>
      </c>
      <c r="D38" s="3">
        <v>20</v>
      </c>
      <c r="E38" s="3">
        <v>7</v>
      </c>
      <c r="F38" s="3">
        <v>12</v>
      </c>
      <c r="G38" s="3">
        <v>1</v>
      </c>
      <c r="H38" s="3">
        <v>1</v>
      </c>
      <c r="I38" s="3">
        <v>1</v>
      </c>
      <c r="J38" s="3">
        <v>12</v>
      </c>
      <c r="K38" s="3">
        <v>2</v>
      </c>
      <c r="L38" s="3">
        <v>16</v>
      </c>
      <c r="M38" s="3">
        <v>0</v>
      </c>
      <c r="N38" s="20">
        <f>SUM(B38:M38)</f>
        <v>105</v>
      </c>
    </row>
    <row r="39" spans="1:14" ht="53.25" customHeight="1" x14ac:dyDescent="0.25">
      <c r="A39" s="10" t="s">
        <v>46</v>
      </c>
      <c r="B39" s="11">
        <f t="shared" ref="B39:J39" si="4">SUM(B36:B38)</f>
        <v>38</v>
      </c>
      <c r="C39" s="11">
        <f t="shared" si="4"/>
        <v>73</v>
      </c>
      <c r="D39" s="11">
        <f t="shared" si="4"/>
        <v>34</v>
      </c>
      <c r="E39" s="11">
        <f t="shared" si="4"/>
        <v>10</v>
      </c>
      <c r="F39" s="11">
        <f t="shared" si="4"/>
        <v>20</v>
      </c>
      <c r="G39" s="11">
        <f t="shared" si="4"/>
        <v>1</v>
      </c>
      <c r="H39" s="11">
        <f t="shared" si="4"/>
        <v>1</v>
      </c>
      <c r="I39" s="11">
        <f t="shared" si="4"/>
        <v>1</v>
      </c>
      <c r="J39" s="11">
        <f t="shared" si="4"/>
        <v>25</v>
      </c>
      <c r="K39" s="11">
        <f>J39</f>
        <v>25</v>
      </c>
      <c r="L39" s="11">
        <f>SUM(L36:L38)</f>
        <v>42</v>
      </c>
      <c r="M39" s="11">
        <f>SUM(M36:M38)</f>
        <v>0</v>
      </c>
      <c r="N39" s="11">
        <f>SUM(B39:M39)</f>
        <v>270</v>
      </c>
    </row>
    <row r="40" spans="1:14" ht="30" x14ac:dyDescent="0.25">
      <c r="A40" s="16" t="s">
        <v>44</v>
      </c>
      <c r="B40" s="17">
        <v>0.5</v>
      </c>
      <c r="C40" s="17">
        <v>1</v>
      </c>
      <c r="D40" s="17">
        <v>1</v>
      </c>
      <c r="E40" s="17">
        <v>1.75</v>
      </c>
      <c r="F40" s="17">
        <v>1.75</v>
      </c>
      <c r="G40" s="17">
        <v>2</v>
      </c>
      <c r="H40" s="17">
        <v>2.5</v>
      </c>
      <c r="I40" s="17">
        <v>1.25</v>
      </c>
      <c r="J40" s="17">
        <v>1.5</v>
      </c>
      <c r="K40" s="17">
        <v>2.75</v>
      </c>
      <c r="L40" s="17">
        <v>3</v>
      </c>
      <c r="M40" s="17">
        <v>2</v>
      </c>
      <c r="N40" s="8"/>
    </row>
    <row r="41" spans="1:14" ht="45" x14ac:dyDescent="0.25">
      <c r="A41" s="9" t="s">
        <v>48</v>
      </c>
      <c r="B41" s="18">
        <f>B39*B40</f>
        <v>19</v>
      </c>
      <c r="C41" s="18">
        <f t="shared" ref="C41:M41" si="5">C39*C40</f>
        <v>73</v>
      </c>
      <c r="D41" s="18">
        <f t="shared" si="5"/>
        <v>34</v>
      </c>
      <c r="E41" s="18">
        <f t="shared" si="5"/>
        <v>17.5</v>
      </c>
      <c r="F41" s="18">
        <f t="shared" si="5"/>
        <v>35</v>
      </c>
      <c r="G41" s="18">
        <f t="shared" si="5"/>
        <v>2</v>
      </c>
      <c r="H41" s="18">
        <f t="shared" si="5"/>
        <v>2.5</v>
      </c>
      <c r="I41" s="18">
        <f t="shared" si="5"/>
        <v>1.25</v>
      </c>
      <c r="J41" s="18">
        <f t="shared" si="5"/>
        <v>37.5</v>
      </c>
      <c r="K41" s="18">
        <f t="shared" si="5"/>
        <v>68.75</v>
      </c>
      <c r="L41" s="18">
        <f t="shared" si="5"/>
        <v>126</v>
      </c>
      <c r="M41" s="18">
        <f t="shared" si="5"/>
        <v>0</v>
      </c>
      <c r="N41" s="19">
        <f>SUM(B41:M41)</f>
        <v>416.5</v>
      </c>
    </row>
    <row r="42" spans="1:14" ht="32.25" customHeight="1" x14ac:dyDescent="0.25"/>
    <row r="43" spans="1:14" ht="27.75" customHeight="1" x14ac:dyDescent="0.25"/>
    <row r="45" spans="1:14" ht="62.25" customHeight="1" x14ac:dyDescent="0.25">
      <c r="A45" s="1" t="s">
        <v>0</v>
      </c>
      <c r="B45" s="2" t="s">
        <v>1</v>
      </c>
      <c r="C45" s="2" t="s">
        <v>2</v>
      </c>
      <c r="D45" s="2" t="s">
        <v>45</v>
      </c>
      <c r="E45" s="2" t="s">
        <v>3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8</v>
      </c>
      <c r="K45" s="2" t="s">
        <v>9</v>
      </c>
      <c r="L45" s="2" t="s">
        <v>10</v>
      </c>
      <c r="M45" s="2" t="s">
        <v>11</v>
      </c>
      <c r="N45" s="7" t="s">
        <v>47</v>
      </c>
    </row>
    <row r="46" spans="1:14" ht="21.75" customHeight="1" x14ac:dyDescent="0.25">
      <c r="A46" s="31" t="s">
        <v>79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8"/>
    </row>
    <row r="47" spans="1:14" ht="26.25" customHeight="1" x14ac:dyDescent="0.25">
      <c r="A47" s="4" t="s">
        <v>110</v>
      </c>
      <c r="B47" s="3">
        <v>14</v>
      </c>
      <c r="C47" s="3">
        <v>9</v>
      </c>
      <c r="D47" s="3">
        <v>7</v>
      </c>
      <c r="E47" s="3">
        <v>1</v>
      </c>
      <c r="F47" s="3">
        <v>3</v>
      </c>
      <c r="G47" s="3">
        <v>0</v>
      </c>
      <c r="H47" s="3">
        <v>0</v>
      </c>
      <c r="I47" s="3">
        <v>0</v>
      </c>
      <c r="J47" s="3">
        <v>5</v>
      </c>
      <c r="K47" s="3">
        <v>0</v>
      </c>
      <c r="L47" s="3">
        <v>0</v>
      </c>
      <c r="M47" s="3">
        <v>0</v>
      </c>
      <c r="N47" s="20">
        <f>SUM(B47:M47)</f>
        <v>39</v>
      </c>
    </row>
    <row r="48" spans="1:14" ht="45" x14ac:dyDescent="0.25">
      <c r="A48" s="4" t="s">
        <v>111</v>
      </c>
      <c r="B48" s="3">
        <v>11</v>
      </c>
      <c r="C48" s="3">
        <v>27</v>
      </c>
      <c r="D48" s="3">
        <v>16</v>
      </c>
      <c r="E48" s="3">
        <v>2</v>
      </c>
      <c r="F48" s="3">
        <v>6</v>
      </c>
      <c r="G48" s="3">
        <v>1</v>
      </c>
      <c r="H48" s="3">
        <v>2</v>
      </c>
      <c r="I48" s="3">
        <v>1</v>
      </c>
      <c r="J48" s="3">
        <v>17</v>
      </c>
      <c r="K48" s="3">
        <v>4</v>
      </c>
      <c r="L48" s="3">
        <v>22</v>
      </c>
      <c r="M48" s="3">
        <v>0</v>
      </c>
      <c r="N48" s="20">
        <f>SUM(B48:M48)</f>
        <v>109</v>
      </c>
    </row>
    <row r="49" spans="1:14" ht="28.5" customHeight="1" x14ac:dyDescent="0.25">
      <c r="A49" s="4" t="s">
        <v>112</v>
      </c>
      <c r="B49" s="3">
        <v>1</v>
      </c>
      <c r="C49" s="3">
        <v>36</v>
      </c>
      <c r="D49" s="3">
        <v>19</v>
      </c>
      <c r="E49" s="3">
        <v>10</v>
      </c>
      <c r="F49" s="3">
        <v>7</v>
      </c>
      <c r="G49" s="3">
        <v>0</v>
      </c>
      <c r="H49" s="3">
        <v>0</v>
      </c>
      <c r="I49" s="3">
        <v>0</v>
      </c>
      <c r="J49" s="3">
        <v>6</v>
      </c>
      <c r="K49" s="3">
        <v>3</v>
      </c>
      <c r="L49" s="3">
        <v>11</v>
      </c>
      <c r="M49" s="3">
        <v>0</v>
      </c>
      <c r="N49" s="20">
        <f>SUM(B49:M49)</f>
        <v>93</v>
      </c>
    </row>
    <row r="50" spans="1:14" x14ac:dyDescent="0.25">
      <c r="A50" s="10" t="s">
        <v>46</v>
      </c>
      <c r="B50" s="11">
        <f t="shared" ref="B50:M50" si="6">SUM(B47:B49)</f>
        <v>26</v>
      </c>
      <c r="C50" s="11">
        <f t="shared" si="6"/>
        <v>72</v>
      </c>
      <c r="D50" s="11">
        <f t="shared" si="6"/>
        <v>42</v>
      </c>
      <c r="E50" s="11">
        <f t="shared" si="6"/>
        <v>13</v>
      </c>
      <c r="F50" s="11">
        <f t="shared" si="6"/>
        <v>16</v>
      </c>
      <c r="G50" s="11">
        <f t="shared" si="6"/>
        <v>1</v>
      </c>
      <c r="H50" s="11">
        <f t="shared" si="6"/>
        <v>2</v>
      </c>
      <c r="I50" s="11">
        <f t="shared" si="6"/>
        <v>1</v>
      </c>
      <c r="J50" s="11">
        <f t="shared" si="6"/>
        <v>28</v>
      </c>
      <c r="K50" s="11">
        <f t="shared" si="6"/>
        <v>7</v>
      </c>
      <c r="L50" s="11">
        <f t="shared" si="6"/>
        <v>33</v>
      </c>
      <c r="M50" s="11">
        <f t="shared" si="6"/>
        <v>0</v>
      </c>
      <c r="N50" s="11">
        <f>SUM(B50:M50)</f>
        <v>241</v>
      </c>
    </row>
    <row r="51" spans="1:14" ht="30" x14ac:dyDescent="0.25">
      <c r="A51" s="16" t="s">
        <v>44</v>
      </c>
      <c r="B51" s="17">
        <v>0.5</v>
      </c>
      <c r="C51" s="17">
        <v>1</v>
      </c>
      <c r="D51" s="17">
        <v>1</v>
      </c>
      <c r="E51" s="17">
        <v>1.75</v>
      </c>
      <c r="F51" s="17">
        <v>1.75</v>
      </c>
      <c r="G51" s="17">
        <v>2</v>
      </c>
      <c r="H51" s="17">
        <v>2.5</v>
      </c>
      <c r="I51" s="17">
        <v>1.25</v>
      </c>
      <c r="J51" s="17">
        <v>1.5</v>
      </c>
      <c r="K51" s="17">
        <v>2.75</v>
      </c>
      <c r="L51" s="17">
        <v>3</v>
      </c>
      <c r="M51" s="17">
        <v>2</v>
      </c>
      <c r="N51" s="8"/>
    </row>
    <row r="52" spans="1:14" ht="45" x14ac:dyDescent="0.25">
      <c r="A52" s="9" t="s">
        <v>48</v>
      </c>
      <c r="B52" s="18">
        <f>B50*B51</f>
        <v>13</v>
      </c>
      <c r="C52" s="18">
        <f t="shared" ref="C52:M52" si="7">C50*C51</f>
        <v>72</v>
      </c>
      <c r="D52" s="18">
        <f t="shared" si="7"/>
        <v>42</v>
      </c>
      <c r="E52" s="18">
        <f t="shared" si="7"/>
        <v>22.75</v>
      </c>
      <c r="F52" s="18">
        <f t="shared" si="7"/>
        <v>28</v>
      </c>
      <c r="G52" s="18">
        <f t="shared" si="7"/>
        <v>2</v>
      </c>
      <c r="H52" s="18">
        <f t="shared" si="7"/>
        <v>5</v>
      </c>
      <c r="I52" s="18">
        <f t="shared" si="7"/>
        <v>1.25</v>
      </c>
      <c r="J52" s="18">
        <f t="shared" si="7"/>
        <v>42</v>
      </c>
      <c r="K52" s="18">
        <f t="shared" si="7"/>
        <v>19.25</v>
      </c>
      <c r="L52" s="18">
        <f t="shared" si="7"/>
        <v>99</v>
      </c>
      <c r="M52" s="18">
        <f t="shared" si="7"/>
        <v>0</v>
      </c>
      <c r="N52" s="19">
        <f>SUM(B52:M52)</f>
        <v>346.25</v>
      </c>
    </row>
    <row r="54" spans="1:14" ht="27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4" x14ac:dyDescent="0.25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4" x14ac:dyDescent="0.25">
      <c r="A56" s="37" t="s">
        <v>49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9" customHeight="1" x14ac:dyDescent="0.25"/>
    <row r="58" spans="1:14" ht="75" x14ac:dyDescent="0.25">
      <c r="A58" s="1" t="s">
        <v>0</v>
      </c>
      <c r="B58" s="2" t="s">
        <v>1</v>
      </c>
      <c r="C58" s="2" t="s">
        <v>2</v>
      </c>
      <c r="D58" s="2" t="s">
        <v>45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7" t="s">
        <v>47</v>
      </c>
    </row>
    <row r="59" spans="1:14" x14ac:dyDescent="0.25">
      <c r="A59" s="31" t="s">
        <v>52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3"/>
      <c r="N59" s="8"/>
    </row>
    <row r="60" spans="1:14" ht="45" x14ac:dyDescent="0.25">
      <c r="A60" s="4" t="s">
        <v>110</v>
      </c>
      <c r="B60" s="3">
        <f t="shared" ref="B60:M60" si="8">(B14+B25+B36+B47)</f>
        <v>71</v>
      </c>
      <c r="C60" s="3">
        <f t="shared" si="8"/>
        <v>50</v>
      </c>
      <c r="D60" s="3">
        <f t="shared" si="8"/>
        <v>24</v>
      </c>
      <c r="E60" s="3">
        <f t="shared" si="8"/>
        <v>4</v>
      </c>
      <c r="F60" s="3">
        <f t="shared" si="8"/>
        <v>20</v>
      </c>
      <c r="G60" s="3">
        <f t="shared" si="8"/>
        <v>1</v>
      </c>
      <c r="H60" s="3">
        <f t="shared" si="8"/>
        <v>0</v>
      </c>
      <c r="I60" s="3">
        <f t="shared" si="8"/>
        <v>0</v>
      </c>
      <c r="J60" s="3">
        <f t="shared" si="8"/>
        <v>17</v>
      </c>
      <c r="K60" s="3">
        <f t="shared" si="8"/>
        <v>3</v>
      </c>
      <c r="L60" s="3">
        <f t="shared" si="8"/>
        <v>5</v>
      </c>
      <c r="M60" s="3">
        <f t="shared" si="8"/>
        <v>0</v>
      </c>
      <c r="N60" s="20">
        <f>SUM(B60:M60)</f>
        <v>195</v>
      </c>
    </row>
    <row r="61" spans="1:14" ht="45" x14ac:dyDescent="0.25">
      <c r="A61" s="4" t="s">
        <v>111</v>
      </c>
      <c r="B61" s="3">
        <f t="shared" ref="B61:M61" si="9">(B15+B26+B37+B48)</f>
        <v>51</v>
      </c>
      <c r="C61" s="3">
        <f t="shared" si="9"/>
        <v>100</v>
      </c>
      <c r="D61" s="3">
        <f t="shared" si="9"/>
        <v>51</v>
      </c>
      <c r="E61" s="3">
        <f t="shared" si="9"/>
        <v>18</v>
      </c>
      <c r="F61" s="3">
        <f t="shared" si="9"/>
        <v>12</v>
      </c>
      <c r="G61" s="3">
        <f t="shared" si="9"/>
        <v>6</v>
      </c>
      <c r="H61" s="3">
        <f t="shared" si="9"/>
        <v>2</v>
      </c>
      <c r="I61" s="3">
        <f t="shared" si="9"/>
        <v>1</v>
      </c>
      <c r="J61" s="3">
        <f t="shared" si="9"/>
        <v>58</v>
      </c>
      <c r="K61" s="3">
        <f t="shared" si="9"/>
        <v>19</v>
      </c>
      <c r="L61" s="3">
        <f t="shared" si="9"/>
        <v>83</v>
      </c>
      <c r="M61" s="3">
        <f t="shared" si="9"/>
        <v>0</v>
      </c>
      <c r="N61" s="20">
        <f>SUM(B61:M61)</f>
        <v>401</v>
      </c>
    </row>
    <row r="62" spans="1:14" ht="45" x14ac:dyDescent="0.25">
      <c r="A62" s="4" t="s">
        <v>112</v>
      </c>
      <c r="B62" s="3">
        <f t="shared" ref="B62:M62" si="10">(B16+B27+B38+B49)</f>
        <v>7</v>
      </c>
      <c r="C62" s="3">
        <f t="shared" si="10"/>
        <v>125</v>
      </c>
      <c r="D62" s="3">
        <f t="shared" si="10"/>
        <v>74</v>
      </c>
      <c r="E62" s="3">
        <f t="shared" si="10"/>
        <v>30</v>
      </c>
      <c r="F62" s="3">
        <f t="shared" si="10"/>
        <v>30</v>
      </c>
      <c r="G62" s="3">
        <f t="shared" si="10"/>
        <v>1</v>
      </c>
      <c r="H62" s="3">
        <f t="shared" si="10"/>
        <v>2</v>
      </c>
      <c r="I62" s="3">
        <f t="shared" si="10"/>
        <v>1</v>
      </c>
      <c r="J62" s="3">
        <f t="shared" si="10"/>
        <v>40</v>
      </c>
      <c r="K62" s="3">
        <f t="shared" si="10"/>
        <v>9</v>
      </c>
      <c r="L62" s="3">
        <f t="shared" si="10"/>
        <v>43</v>
      </c>
      <c r="M62" s="3">
        <f t="shared" si="10"/>
        <v>0</v>
      </c>
      <c r="N62" s="20">
        <f>SUM(B62:M62)</f>
        <v>362</v>
      </c>
    </row>
    <row r="63" spans="1:14" x14ac:dyDescent="0.25">
      <c r="A63" s="10" t="s">
        <v>46</v>
      </c>
      <c r="B63" s="11">
        <f t="shared" ref="B63:M63" si="11">SUM(B60:B62)</f>
        <v>129</v>
      </c>
      <c r="C63" s="11">
        <f t="shared" si="11"/>
        <v>275</v>
      </c>
      <c r="D63" s="11">
        <f t="shared" si="11"/>
        <v>149</v>
      </c>
      <c r="E63" s="11">
        <f t="shared" si="11"/>
        <v>52</v>
      </c>
      <c r="F63" s="11">
        <f t="shared" si="11"/>
        <v>62</v>
      </c>
      <c r="G63" s="11">
        <f t="shared" si="11"/>
        <v>8</v>
      </c>
      <c r="H63" s="11">
        <f t="shared" si="11"/>
        <v>4</v>
      </c>
      <c r="I63" s="11">
        <f t="shared" si="11"/>
        <v>2</v>
      </c>
      <c r="J63" s="11">
        <f t="shared" si="11"/>
        <v>115</v>
      </c>
      <c r="K63" s="11">
        <f t="shared" si="11"/>
        <v>31</v>
      </c>
      <c r="L63" s="11">
        <f t="shared" si="11"/>
        <v>131</v>
      </c>
      <c r="M63" s="11">
        <f t="shared" si="11"/>
        <v>0</v>
      </c>
      <c r="N63" s="11">
        <f>SUM(B63:M63)</f>
        <v>958</v>
      </c>
    </row>
    <row r="64" spans="1:14" ht="30" x14ac:dyDescent="0.25">
      <c r="A64" s="16" t="s">
        <v>44</v>
      </c>
      <c r="B64" s="17">
        <v>0.5</v>
      </c>
      <c r="C64" s="17">
        <v>1</v>
      </c>
      <c r="D64" s="17">
        <v>1</v>
      </c>
      <c r="E64" s="17">
        <v>1.75</v>
      </c>
      <c r="F64" s="17">
        <v>1.75</v>
      </c>
      <c r="G64" s="17">
        <v>2</v>
      </c>
      <c r="H64" s="17">
        <v>2.5</v>
      </c>
      <c r="I64" s="17">
        <v>1.25</v>
      </c>
      <c r="J64" s="17">
        <v>1.5</v>
      </c>
      <c r="K64" s="17">
        <v>2.75</v>
      </c>
      <c r="L64" s="17">
        <v>3</v>
      </c>
      <c r="M64" s="17">
        <v>2</v>
      </c>
      <c r="N64" s="8"/>
    </row>
    <row r="65" spans="1:14" ht="45" x14ac:dyDescent="0.25">
      <c r="A65" s="9" t="s">
        <v>48</v>
      </c>
      <c r="B65" s="18">
        <f>B63*B64</f>
        <v>64.5</v>
      </c>
      <c r="C65" s="18">
        <f t="shared" ref="C65:M65" si="12">C63*C64</f>
        <v>275</v>
      </c>
      <c r="D65" s="18">
        <f t="shared" si="12"/>
        <v>149</v>
      </c>
      <c r="E65" s="18">
        <f t="shared" si="12"/>
        <v>91</v>
      </c>
      <c r="F65" s="18">
        <f t="shared" si="12"/>
        <v>108.5</v>
      </c>
      <c r="G65" s="18">
        <f t="shared" si="12"/>
        <v>16</v>
      </c>
      <c r="H65" s="18">
        <f t="shared" si="12"/>
        <v>10</v>
      </c>
      <c r="I65" s="18">
        <f t="shared" si="12"/>
        <v>2.5</v>
      </c>
      <c r="J65" s="18">
        <f t="shared" si="12"/>
        <v>172.5</v>
      </c>
      <c r="K65" s="18">
        <f t="shared" si="12"/>
        <v>85.25</v>
      </c>
      <c r="L65" s="18">
        <f t="shared" si="12"/>
        <v>393</v>
      </c>
      <c r="M65" s="18">
        <f t="shared" si="12"/>
        <v>0</v>
      </c>
      <c r="N65" s="19">
        <f>SUM(B65:M65)</f>
        <v>1367.25</v>
      </c>
    </row>
    <row r="67" spans="1:14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73" spans="1:14" ht="34.5" customHeight="1" x14ac:dyDescent="0.25"/>
    <row r="82" spans="1:13" x14ac:dyDescent="0.25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25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</sheetData>
  <mergeCells count="13">
    <mergeCell ref="A9:N9"/>
    <mergeCell ref="A1:N1"/>
    <mergeCell ref="A3:N3"/>
    <mergeCell ref="A5:N5"/>
    <mergeCell ref="A6:N6"/>
    <mergeCell ref="A7:N7"/>
    <mergeCell ref="A59:M59"/>
    <mergeCell ref="A10:N10"/>
    <mergeCell ref="A13:M13"/>
    <mergeCell ref="A24:M24"/>
    <mergeCell ref="A35:M35"/>
    <mergeCell ref="A46:M46"/>
    <mergeCell ref="A56:N56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4"/>
  <sheetViews>
    <sheetView view="pageBreakPreview" zoomScaleNormal="100" zoomScaleSheetLayoutView="100" workbookViewId="0">
      <selection activeCell="A4" sqref="A4"/>
    </sheetView>
  </sheetViews>
  <sheetFormatPr defaultRowHeight="15" x14ac:dyDescent="0.25"/>
  <cols>
    <col min="1" max="1" width="12.5703125" customWidth="1"/>
    <col min="20" max="20" width="9.7109375" customWidth="1"/>
  </cols>
  <sheetData>
    <row r="1" spans="1:14" x14ac:dyDescent="0.25">
      <c r="A1" s="30" t="s">
        <v>102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8" t="str">
        <f>'7-8AM'!A3:N3</f>
        <v>ROAD: NAIROBI - MOMBASA (A8) ROAD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9" customHeight="1" x14ac:dyDescent="0.25"/>
    <row r="5" spans="1:14" x14ac:dyDescent="0.25">
      <c r="A5" s="39" t="str">
        <f>'7-8AM'!A5:N5</f>
        <v>SITE: ATHI RIVER AREA, MACHAKOS COUNTY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9" t="str">
        <f>'7-8AM'!A6:N6</f>
        <v>PROJECT: EXISTING COMMERCIAL DEVELOPMENT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x14ac:dyDescent="0.25">
      <c r="A7" s="39" t="str">
        <f>'7-8AM'!A7:N7</f>
        <v>C/O: CRYSTAL RIVERS MALL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7.5" customHeight="1" x14ac:dyDescent="0.25"/>
    <row r="9" spans="1:14" x14ac:dyDescent="0.25">
      <c r="A9" s="35" t="s">
        <v>17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34" t="s">
        <v>43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ht="9" customHeight="1" x14ac:dyDescent="0.25"/>
    <row r="12" spans="1:14" ht="71.25" customHeight="1" x14ac:dyDescent="0.25">
      <c r="A12" s="1" t="s">
        <v>0</v>
      </c>
      <c r="B12" s="2" t="s">
        <v>1</v>
      </c>
      <c r="C12" s="2" t="s">
        <v>2</v>
      </c>
      <c r="D12" s="2" t="s">
        <v>45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7" t="s">
        <v>47</v>
      </c>
    </row>
    <row r="13" spans="1:14" ht="20.25" customHeight="1" x14ac:dyDescent="0.25">
      <c r="A13" s="31" t="s">
        <v>21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8"/>
    </row>
    <row r="14" spans="1:14" ht="28.5" customHeight="1" x14ac:dyDescent="0.25">
      <c r="A14" s="4" t="s">
        <v>110</v>
      </c>
      <c r="B14" s="3">
        <v>21</v>
      </c>
      <c r="C14" s="3">
        <v>11</v>
      </c>
      <c r="D14" s="3">
        <v>8</v>
      </c>
      <c r="E14" s="3">
        <v>2</v>
      </c>
      <c r="F14" s="3">
        <v>2</v>
      </c>
      <c r="G14" s="3">
        <v>0</v>
      </c>
      <c r="H14" s="3">
        <v>0</v>
      </c>
      <c r="I14" s="3">
        <v>0</v>
      </c>
      <c r="J14" s="3">
        <v>4</v>
      </c>
      <c r="K14" s="3">
        <v>0</v>
      </c>
      <c r="L14" s="3">
        <v>2</v>
      </c>
      <c r="M14" s="3">
        <v>0</v>
      </c>
      <c r="N14" s="20">
        <f>SUM(B14:M14)</f>
        <v>50</v>
      </c>
    </row>
    <row r="15" spans="1:14" ht="31.5" customHeight="1" x14ac:dyDescent="0.25">
      <c r="A15" s="4" t="s">
        <v>111</v>
      </c>
      <c r="B15" s="3">
        <v>10</v>
      </c>
      <c r="C15" s="3">
        <v>19</v>
      </c>
      <c r="D15" s="3">
        <v>19</v>
      </c>
      <c r="E15" s="3">
        <v>3</v>
      </c>
      <c r="F15" s="3">
        <v>5</v>
      </c>
      <c r="G15" s="3">
        <v>3</v>
      </c>
      <c r="H15" s="3">
        <v>1</v>
      </c>
      <c r="I15" s="3">
        <v>3</v>
      </c>
      <c r="J15" s="3">
        <v>21</v>
      </c>
      <c r="K15" s="3">
        <v>6</v>
      </c>
      <c r="L15" s="3">
        <v>28</v>
      </c>
      <c r="M15" s="3">
        <v>0</v>
      </c>
      <c r="N15" s="20">
        <f>SUM(B15:M15)</f>
        <v>118</v>
      </c>
    </row>
    <row r="16" spans="1:14" ht="27" customHeight="1" x14ac:dyDescent="0.25">
      <c r="A16" s="4" t="s">
        <v>112</v>
      </c>
      <c r="B16" s="3">
        <v>1</v>
      </c>
      <c r="C16" s="3">
        <v>31</v>
      </c>
      <c r="D16" s="3">
        <v>23</v>
      </c>
      <c r="E16" s="3">
        <v>5</v>
      </c>
      <c r="F16" s="3">
        <v>4</v>
      </c>
      <c r="G16" s="3">
        <v>0</v>
      </c>
      <c r="H16" s="3">
        <v>0</v>
      </c>
      <c r="I16" s="3">
        <v>0</v>
      </c>
      <c r="J16" s="3">
        <v>10</v>
      </c>
      <c r="K16" s="3">
        <v>3</v>
      </c>
      <c r="L16" s="3">
        <v>15</v>
      </c>
      <c r="M16" s="3">
        <v>0</v>
      </c>
      <c r="N16" s="20">
        <f>SUM(B16:M16)</f>
        <v>92</v>
      </c>
    </row>
    <row r="17" spans="1:14" ht="47.25" customHeight="1" x14ac:dyDescent="0.25">
      <c r="A17" s="10" t="s">
        <v>46</v>
      </c>
      <c r="B17" s="11">
        <f t="shared" ref="B17:M17" si="0">SUM(B14:B16)</f>
        <v>32</v>
      </c>
      <c r="C17" s="11">
        <f t="shared" si="0"/>
        <v>61</v>
      </c>
      <c r="D17" s="11">
        <f t="shared" si="0"/>
        <v>50</v>
      </c>
      <c r="E17" s="11">
        <f t="shared" si="0"/>
        <v>10</v>
      </c>
      <c r="F17" s="11">
        <f t="shared" si="0"/>
        <v>11</v>
      </c>
      <c r="G17" s="11">
        <f t="shared" si="0"/>
        <v>3</v>
      </c>
      <c r="H17" s="11">
        <f t="shared" si="0"/>
        <v>1</v>
      </c>
      <c r="I17" s="11">
        <f t="shared" si="0"/>
        <v>3</v>
      </c>
      <c r="J17" s="11">
        <f t="shared" si="0"/>
        <v>35</v>
      </c>
      <c r="K17" s="11">
        <f t="shared" si="0"/>
        <v>9</v>
      </c>
      <c r="L17" s="11">
        <f t="shared" si="0"/>
        <v>45</v>
      </c>
      <c r="M17" s="11">
        <f t="shared" si="0"/>
        <v>0</v>
      </c>
      <c r="N17" s="11">
        <f>SUM(B17:M17)</f>
        <v>260</v>
      </c>
    </row>
    <row r="18" spans="1:14" ht="30" x14ac:dyDescent="0.25">
      <c r="A18" s="16" t="s">
        <v>44</v>
      </c>
      <c r="B18" s="17">
        <v>0.5</v>
      </c>
      <c r="C18" s="17">
        <v>1</v>
      </c>
      <c r="D18" s="17">
        <v>1</v>
      </c>
      <c r="E18" s="17">
        <v>1.75</v>
      </c>
      <c r="F18" s="17">
        <v>1.75</v>
      </c>
      <c r="G18" s="17">
        <v>2</v>
      </c>
      <c r="H18" s="17">
        <v>2.5</v>
      </c>
      <c r="I18" s="17">
        <v>1.25</v>
      </c>
      <c r="J18" s="17">
        <v>1.5</v>
      </c>
      <c r="K18" s="17">
        <v>2.75</v>
      </c>
      <c r="L18" s="17">
        <v>3</v>
      </c>
      <c r="M18" s="17">
        <v>2</v>
      </c>
      <c r="N18" s="8"/>
    </row>
    <row r="19" spans="1:14" ht="45" x14ac:dyDescent="0.25">
      <c r="A19" s="9" t="s">
        <v>48</v>
      </c>
      <c r="B19" s="18">
        <f>B17*B18</f>
        <v>16</v>
      </c>
      <c r="C19" s="18">
        <f t="shared" ref="C19:M19" si="1">C17*C18</f>
        <v>61</v>
      </c>
      <c r="D19" s="18">
        <f t="shared" si="1"/>
        <v>50</v>
      </c>
      <c r="E19" s="18">
        <f t="shared" si="1"/>
        <v>17.5</v>
      </c>
      <c r="F19" s="18">
        <f t="shared" si="1"/>
        <v>19.25</v>
      </c>
      <c r="G19" s="18">
        <f t="shared" si="1"/>
        <v>6</v>
      </c>
      <c r="H19" s="18">
        <f t="shared" si="1"/>
        <v>2.5</v>
      </c>
      <c r="I19" s="18">
        <f t="shared" si="1"/>
        <v>3.75</v>
      </c>
      <c r="J19" s="18">
        <f t="shared" si="1"/>
        <v>52.5</v>
      </c>
      <c r="K19" s="18">
        <f t="shared" si="1"/>
        <v>24.75</v>
      </c>
      <c r="L19" s="18">
        <f t="shared" si="1"/>
        <v>135</v>
      </c>
      <c r="M19" s="18">
        <f t="shared" si="1"/>
        <v>0</v>
      </c>
      <c r="N19" s="19">
        <f>SUM(B19:M19)</f>
        <v>388.25</v>
      </c>
    </row>
    <row r="20" spans="1:14" x14ac:dyDescent="0.25">
      <c r="A20" s="5"/>
    </row>
    <row r="21" spans="1:14" x14ac:dyDescent="0.25">
      <c r="A21" s="5"/>
    </row>
    <row r="22" spans="1:14" x14ac:dyDescent="0.25">
      <c r="A22" s="5"/>
    </row>
    <row r="23" spans="1:14" ht="75" x14ac:dyDescent="0.25">
      <c r="A23" s="1" t="s">
        <v>0</v>
      </c>
      <c r="B23" s="2" t="s">
        <v>1</v>
      </c>
      <c r="C23" s="2" t="s">
        <v>2</v>
      </c>
      <c r="D23" s="2" t="s">
        <v>45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  <c r="N23" s="7" t="s">
        <v>47</v>
      </c>
    </row>
    <row r="24" spans="1:14" x14ac:dyDescent="0.25">
      <c r="A24" s="31" t="s">
        <v>22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8"/>
    </row>
    <row r="25" spans="1:14" ht="27" customHeight="1" x14ac:dyDescent="0.25">
      <c r="A25" s="4" t="s">
        <v>110</v>
      </c>
      <c r="B25" s="3">
        <v>22</v>
      </c>
      <c r="C25" s="3">
        <v>8</v>
      </c>
      <c r="D25" s="3">
        <v>5</v>
      </c>
      <c r="E25" s="3">
        <v>3</v>
      </c>
      <c r="F25" s="3">
        <v>4</v>
      </c>
      <c r="G25" s="3">
        <v>0</v>
      </c>
      <c r="H25" s="3">
        <v>0</v>
      </c>
      <c r="I25" s="3">
        <v>0</v>
      </c>
      <c r="J25" s="3">
        <v>4</v>
      </c>
      <c r="K25" s="3">
        <v>1</v>
      </c>
      <c r="L25" s="3">
        <v>0</v>
      </c>
      <c r="M25" s="3">
        <v>0</v>
      </c>
      <c r="N25" s="20">
        <f>SUM(B25:M25)</f>
        <v>47</v>
      </c>
    </row>
    <row r="26" spans="1:14" ht="45" x14ac:dyDescent="0.25">
      <c r="A26" s="4" t="s">
        <v>111</v>
      </c>
      <c r="B26" s="3">
        <v>4</v>
      </c>
      <c r="C26" s="3">
        <v>15</v>
      </c>
      <c r="D26" s="3">
        <v>9</v>
      </c>
      <c r="E26" s="3">
        <v>0</v>
      </c>
      <c r="F26" s="3">
        <v>4</v>
      </c>
      <c r="G26" s="3">
        <v>1</v>
      </c>
      <c r="H26" s="3">
        <v>0</v>
      </c>
      <c r="I26" s="3">
        <v>1</v>
      </c>
      <c r="J26" s="3">
        <v>11</v>
      </c>
      <c r="K26" s="3">
        <v>4</v>
      </c>
      <c r="L26" s="3">
        <v>26</v>
      </c>
      <c r="M26" s="3">
        <v>0</v>
      </c>
      <c r="N26" s="20">
        <f>SUM(B26:M26)</f>
        <v>75</v>
      </c>
    </row>
    <row r="27" spans="1:14" ht="45" x14ac:dyDescent="0.25">
      <c r="A27" s="4" t="s">
        <v>112</v>
      </c>
      <c r="B27" s="3">
        <v>3</v>
      </c>
      <c r="C27" s="3">
        <v>30</v>
      </c>
      <c r="D27" s="3">
        <v>22</v>
      </c>
      <c r="E27" s="3">
        <v>6</v>
      </c>
      <c r="F27" s="3">
        <v>8</v>
      </c>
      <c r="G27" s="3">
        <v>1</v>
      </c>
      <c r="H27" s="3">
        <v>0</v>
      </c>
      <c r="I27" s="3">
        <v>0</v>
      </c>
      <c r="J27" s="3">
        <v>10</v>
      </c>
      <c r="K27" s="3">
        <v>4</v>
      </c>
      <c r="L27" s="3">
        <v>14</v>
      </c>
      <c r="M27" s="3">
        <v>0</v>
      </c>
      <c r="N27" s="20">
        <f>SUM(B27:M27)</f>
        <v>98</v>
      </c>
    </row>
    <row r="28" spans="1:14" x14ac:dyDescent="0.25">
      <c r="A28" s="10" t="s">
        <v>46</v>
      </c>
      <c r="B28" s="11">
        <f t="shared" ref="B28:M28" si="2">SUM(B25:B27)</f>
        <v>29</v>
      </c>
      <c r="C28" s="11">
        <f t="shared" si="2"/>
        <v>53</v>
      </c>
      <c r="D28" s="11">
        <f t="shared" si="2"/>
        <v>36</v>
      </c>
      <c r="E28" s="11">
        <f t="shared" si="2"/>
        <v>9</v>
      </c>
      <c r="F28" s="11">
        <f t="shared" si="2"/>
        <v>16</v>
      </c>
      <c r="G28" s="11">
        <f t="shared" si="2"/>
        <v>2</v>
      </c>
      <c r="H28" s="11">
        <f t="shared" si="2"/>
        <v>0</v>
      </c>
      <c r="I28" s="11">
        <f t="shared" si="2"/>
        <v>1</v>
      </c>
      <c r="J28" s="11">
        <f t="shared" si="2"/>
        <v>25</v>
      </c>
      <c r="K28" s="11">
        <f t="shared" si="2"/>
        <v>9</v>
      </c>
      <c r="L28" s="11">
        <f t="shared" si="2"/>
        <v>40</v>
      </c>
      <c r="M28" s="11">
        <f t="shared" si="2"/>
        <v>0</v>
      </c>
      <c r="N28" s="11">
        <f>SUM(B28:M28)</f>
        <v>220</v>
      </c>
    </row>
    <row r="29" spans="1:14" ht="30" x14ac:dyDescent="0.25">
      <c r="A29" s="16" t="s">
        <v>44</v>
      </c>
      <c r="B29" s="17">
        <v>0.5</v>
      </c>
      <c r="C29" s="17">
        <v>1</v>
      </c>
      <c r="D29" s="17">
        <v>1</v>
      </c>
      <c r="E29" s="17">
        <v>1.75</v>
      </c>
      <c r="F29" s="17">
        <v>1.75</v>
      </c>
      <c r="G29" s="17">
        <v>2</v>
      </c>
      <c r="H29" s="17">
        <v>2.5</v>
      </c>
      <c r="I29" s="17">
        <v>1.25</v>
      </c>
      <c r="J29" s="17">
        <v>1.5</v>
      </c>
      <c r="K29" s="17">
        <v>2.75</v>
      </c>
      <c r="L29" s="17">
        <v>3</v>
      </c>
      <c r="M29" s="17">
        <v>2</v>
      </c>
      <c r="N29" s="8"/>
    </row>
    <row r="30" spans="1:14" ht="45" x14ac:dyDescent="0.25">
      <c r="A30" s="9" t="s">
        <v>48</v>
      </c>
      <c r="B30" s="18">
        <f>B28*B29</f>
        <v>14.5</v>
      </c>
      <c r="C30" s="18">
        <f t="shared" ref="C30:M30" si="3">C28*C29</f>
        <v>53</v>
      </c>
      <c r="D30" s="18">
        <f t="shared" si="3"/>
        <v>36</v>
      </c>
      <c r="E30" s="18">
        <f t="shared" si="3"/>
        <v>15.75</v>
      </c>
      <c r="F30" s="18">
        <f t="shared" si="3"/>
        <v>28</v>
      </c>
      <c r="G30" s="18">
        <f t="shared" si="3"/>
        <v>4</v>
      </c>
      <c r="H30" s="18">
        <f t="shared" si="3"/>
        <v>0</v>
      </c>
      <c r="I30" s="18">
        <f t="shared" si="3"/>
        <v>1.25</v>
      </c>
      <c r="J30" s="18">
        <f t="shared" si="3"/>
        <v>37.5</v>
      </c>
      <c r="K30" s="18">
        <f t="shared" si="3"/>
        <v>24.75</v>
      </c>
      <c r="L30" s="18">
        <f t="shared" si="3"/>
        <v>120</v>
      </c>
      <c r="M30" s="18">
        <f t="shared" si="3"/>
        <v>0</v>
      </c>
      <c r="N30" s="19">
        <f>SUM(B30:M30)</f>
        <v>334.75</v>
      </c>
    </row>
    <row r="31" spans="1:14" x14ac:dyDescent="0.25">
      <c r="A31" s="12"/>
    </row>
    <row r="32" spans="1:14" ht="24.75" customHeight="1" x14ac:dyDescent="0.25">
      <c r="A32" s="12"/>
    </row>
    <row r="33" spans="1:14" x14ac:dyDescent="0.25">
      <c r="A33" s="12"/>
    </row>
    <row r="34" spans="1:14" ht="45" customHeight="1" x14ac:dyDescent="0.25">
      <c r="A34" s="1" t="s">
        <v>0</v>
      </c>
      <c r="B34" s="2" t="s">
        <v>1</v>
      </c>
      <c r="C34" s="2" t="s">
        <v>2</v>
      </c>
      <c r="D34" s="2" t="s">
        <v>45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7" t="s">
        <v>47</v>
      </c>
    </row>
    <row r="35" spans="1:14" ht="30.75" customHeight="1" x14ac:dyDescent="0.25">
      <c r="A35" s="31" t="s">
        <v>23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8"/>
    </row>
    <row r="36" spans="1:14" ht="45" x14ac:dyDescent="0.25">
      <c r="A36" s="4" t="s">
        <v>110</v>
      </c>
      <c r="B36" s="3">
        <v>21</v>
      </c>
      <c r="C36" s="3">
        <v>19</v>
      </c>
      <c r="D36" s="3">
        <v>5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2</v>
      </c>
      <c r="K36" s="3">
        <v>0</v>
      </c>
      <c r="L36" s="3">
        <v>1</v>
      </c>
      <c r="M36" s="3">
        <v>0</v>
      </c>
      <c r="N36" s="20">
        <f>SUM(B36:M36)</f>
        <v>48</v>
      </c>
    </row>
    <row r="37" spans="1:14" ht="45" x14ac:dyDescent="0.25">
      <c r="A37" s="4" t="s">
        <v>111</v>
      </c>
      <c r="B37" s="3">
        <v>5</v>
      </c>
      <c r="C37" s="3">
        <v>12</v>
      </c>
      <c r="D37" s="3">
        <v>7</v>
      </c>
      <c r="E37" s="3">
        <v>6</v>
      </c>
      <c r="F37" s="3">
        <v>6</v>
      </c>
      <c r="G37" s="3">
        <v>2</v>
      </c>
      <c r="H37" s="3">
        <v>0</v>
      </c>
      <c r="I37" s="3">
        <v>0</v>
      </c>
      <c r="J37" s="3">
        <v>16</v>
      </c>
      <c r="K37" s="3">
        <v>6</v>
      </c>
      <c r="L37" s="3">
        <v>21</v>
      </c>
      <c r="M37" s="3">
        <v>0</v>
      </c>
      <c r="N37" s="20">
        <f>SUM(B37:M37)</f>
        <v>81</v>
      </c>
    </row>
    <row r="38" spans="1:14" ht="45" x14ac:dyDescent="0.25">
      <c r="A38" s="4" t="s">
        <v>112</v>
      </c>
      <c r="B38" s="3">
        <v>2</v>
      </c>
      <c r="C38" s="3">
        <v>24</v>
      </c>
      <c r="D38" s="3">
        <v>25</v>
      </c>
      <c r="E38" s="3">
        <v>6</v>
      </c>
      <c r="F38" s="3">
        <v>1</v>
      </c>
      <c r="G38" s="3">
        <v>1</v>
      </c>
      <c r="H38" s="3">
        <v>1</v>
      </c>
      <c r="I38" s="3">
        <v>0</v>
      </c>
      <c r="J38" s="3">
        <v>9</v>
      </c>
      <c r="K38" s="3">
        <v>3</v>
      </c>
      <c r="L38" s="3">
        <v>9</v>
      </c>
      <c r="M38" s="3">
        <v>0</v>
      </c>
      <c r="N38" s="20">
        <f>SUM(B38:M38)</f>
        <v>81</v>
      </c>
    </row>
    <row r="39" spans="1:14" ht="53.25" customHeight="1" x14ac:dyDescent="0.25">
      <c r="A39" s="10" t="s">
        <v>46</v>
      </c>
      <c r="B39" s="11">
        <f t="shared" ref="B39:M39" si="4">SUM(B36:B38)</f>
        <v>28</v>
      </c>
      <c r="C39" s="11">
        <f t="shared" si="4"/>
        <v>55</v>
      </c>
      <c r="D39" s="11">
        <f t="shared" si="4"/>
        <v>37</v>
      </c>
      <c r="E39" s="11">
        <f t="shared" si="4"/>
        <v>12</v>
      </c>
      <c r="F39" s="11">
        <f t="shared" si="4"/>
        <v>7</v>
      </c>
      <c r="G39" s="11">
        <f t="shared" si="4"/>
        <v>3</v>
      </c>
      <c r="H39" s="11">
        <f t="shared" si="4"/>
        <v>1</v>
      </c>
      <c r="I39" s="11">
        <f t="shared" si="4"/>
        <v>0</v>
      </c>
      <c r="J39" s="11">
        <f t="shared" si="4"/>
        <v>27</v>
      </c>
      <c r="K39" s="11">
        <f t="shared" si="4"/>
        <v>9</v>
      </c>
      <c r="L39" s="11">
        <f t="shared" si="4"/>
        <v>31</v>
      </c>
      <c r="M39" s="11">
        <f t="shared" si="4"/>
        <v>0</v>
      </c>
      <c r="N39" s="11">
        <f>SUM(B39:M39)</f>
        <v>210</v>
      </c>
    </row>
    <row r="40" spans="1:14" ht="30" x14ac:dyDescent="0.25">
      <c r="A40" s="16" t="s">
        <v>44</v>
      </c>
      <c r="B40" s="17">
        <v>0.5</v>
      </c>
      <c r="C40" s="17">
        <v>1</v>
      </c>
      <c r="D40" s="17">
        <v>1</v>
      </c>
      <c r="E40" s="17">
        <v>1.75</v>
      </c>
      <c r="F40" s="17">
        <v>1.75</v>
      </c>
      <c r="G40" s="17">
        <v>2</v>
      </c>
      <c r="H40" s="17">
        <v>2.5</v>
      </c>
      <c r="I40" s="17">
        <v>1.25</v>
      </c>
      <c r="J40" s="17">
        <v>1.5</v>
      </c>
      <c r="K40" s="17">
        <v>2.75</v>
      </c>
      <c r="L40" s="17">
        <v>3</v>
      </c>
      <c r="M40" s="17">
        <v>2</v>
      </c>
      <c r="N40" s="8"/>
    </row>
    <row r="41" spans="1:14" ht="45" x14ac:dyDescent="0.25">
      <c r="A41" s="9" t="s">
        <v>48</v>
      </c>
      <c r="B41" s="18">
        <f>B39*B40</f>
        <v>14</v>
      </c>
      <c r="C41" s="18">
        <f t="shared" ref="C41:M41" si="5">C39*C40</f>
        <v>55</v>
      </c>
      <c r="D41" s="18">
        <f t="shared" si="5"/>
        <v>37</v>
      </c>
      <c r="E41" s="18">
        <f t="shared" si="5"/>
        <v>21</v>
      </c>
      <c r="F41" s="18">
        <f t="shared" si="5"/>
        <v>12.25</v>
      </c>
      <c r="G41" s="18">
        <f t="shared" si="5"/>
        <v>6</v>
      </c>
      <c r="H41" s="18">
        <f t="shared" si="5"/>
        <v>2.5</v>
      </c>
      <c r="I41" s="18">
        <f t="shared" si="5"/>
        <v>0</v>
      </c>
      <c r="J41" s="18">
        <f t="shared" si="5"/>
        <v>40.5</v>
      </c>
      <c r="K41" s="18">
        <f t="shared" si="5"/>
        <v>24.75</v>
      </c>
      <c r="L41" s="18">
        <f t="shared" si="5"/>
        <v>93</v>
      </c>
      <c r="M41" s="18">
        <f t="shared" si="5"/>
        <v>0</v>
      </c>
      <c r="N41" s="19">
        <f>SUM(B41:M41)</f>
        <v>306</v>
      </c>
    </row>
    <row r="42" spans="1:14" ht="32.25" customHeight="1" x14ac:dyDescent="0.25"/>
    <row r="43" spans="1:14" ht="27.75" customHeight="1" x14ac:dyDescent="0.25"/>
    <row r="45" spans="1:14" ht="62.25" customHeight="1" x14ac:dyDescent="0.25">
      <c r="A45" s="1" t="s">
        <v>0</v>
      </c>
      <c r="B45" s="2" t="s">
        <v>1</v>
      </c>
      <c r="C45" s="2" t="s">
        <v>2</v>
      </c>
      <c r="D45" s="2" t="s">
        <v>45</v>
      </c>
      <c r="E45" s="2" t="s">
        <v>3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8</v>
      </c>
      <c r="K45" s="2" t="s">
        <v>9</v>
      </c>
      <c r="L45" s="2" t="s">
        <v>10</v>
      </c>
      <c r="M45" s="2" t="s">
        <v>11</v>
      </c>
      <c r="N45" s="7" t="s">
        <v>47</v>
      </c>
    </row>
    <row r="46" spans="1:14" ht="21.75" customHeight="1" x14ac:dyDescent="0.25">
      <c r="A46" s="31" t="s">
        <v>24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8"/>
    </row>
    <row r="47" spans="1:14" ht="26.25" customHeight="1" x14ac:dyDescent="0.25">
      <c r="A47" s="4" t="s">
        <v>110</v>
      </c>
      <c r="B47" s="3">
        <v>26</v>
      </c>
      <c r="C47" s="3">
        <v>13</v>
      </c>
      <c r="D47" s="3">
        <v>5</v>
      </c>
      <c r="E47" s="3">
        <v>1</v>
      </c>
      <c r="F47" s="3">
        <v>6</v>
      </c>
      <c r="G47" s="3">
        <v>0</v>
      </c>
      <c r="H47" s="3">
        <v>1</v>
      </c>
      <c r="I47" s="3">
        <v>0</v>
      </c>
      <c r="J47" s="3">
        <v>2</v>
      </c>
      <c r="K47" s="3">
        <v>0</v>
      </c>
      <c r="L47" s="3">
        <v>0</v>
      </c>
      <c r="M47" s="3">
        <v>0</v>
      </c>
      <c r="N47" s="20">
        <f>SUM(B47:M47)</f>
        <v>54</v>
      </c>
    </row>
    <row r="48" spans="1:14" ht="45" x14ac:dyDescent="0.25">
      <c r="A48" s="4" t="s">
        <v>111</v>
      </c>
      <c r="B48" s="3">
        <v>14</v>
      </c>
      <c r="C48" s="3">
        <v>16</v>
      </c>
      <c r="D48" s="3">
        <v>13</v>
      </c>
      <c r="E48" s="3">
        <v>5</v>
      </c>
      <c r="F48" s="3">
        <v>7</v>
      </c>
      <c r="G48" s="3">
        <v>0</v>
      </c>
      <c r="H48" s="3">
        <v>0</v>
      </c>
      <c r="I48" s="3">
        <v>0</v>
      </c>
      <c r="J48" s="3">
        <v>10</v>
      </c>
      <c r="K48" s="3">
        <v>8</v>
      </c>
      <c r="L48" s="3">
        <v>22</v>
      </c>
      <c r="M48" s="3">
        <v>0</v>
      </c>
      <c r="N48" s="20">
        <f>SUM(B48:M48)</f>
        <v>95</v>
      </c>
    </row>
    <row r="49" spans="1:14" ht="28.5" customHeight="1" x14ac:dyDescent="0.25">
      <c r="A49" s="4" t="s">
        <v>112</v>
      </c>
      <c r="B49" s="3">
        <v>2</v>
      </c>
      <c r="C49" s="3">
        <v>22</v>
      </c>
      <c r="D49" s="3">
        <v>14</v>
      </c>
      <c r="E49" s="3">
        <v>8</v>
      </c>
      <c r="F49" s="3">
        <v>5</v>
      </c>
      <c r="G49" s="3">
        <v>0</v>
      </c>
      <c r="H49" s="3">
        <v>0</v>
      </c>
      <c r="I49" s="3">
        <v>1</v>
      </c>
      <c r="J49" s="3">
        <v>7</v>
      </c>
      <c r="K49" s="3">
        <v>2</v>
      </c>
      <c r="L49" s="3">
        <v>12</v>
      </c>
      <c r="M49" s="3">
        <v>0</v>
      </c>
      <c r="N49" s="20">
        <f>SUM(B49:M49)</f>
        <v>73</v>
      </c>
    </row>
    <row r="50" spans="1:14" x14ac:dyDescent="0.25">
      <c r="A50" s="10" t="s">
        <v>46</v>
      </c>
      <c r="B50" s="11">
        <f t="shared" ref="B50:M50" si="6">SUM(B47:B49)</f>
        <v>42</v>
      </c>
      <c r="C50" s="11">
        <f t="shared" si="6"/>
        <v>51</v>
      </c>
      <c r="D50" s="11">
        <f t="shared" si="6"/>
        <v>32</v>
      </c>
      <c r="E50" s="11">
        <f t="shared" si="6"/>
        <v>14</v>
      </c>
      <c r="F50" s="11">
        <f t="shared" si="6"/>
        <v>18</v>
      </c>
      <c r="G50" s="11">
        <f t="shared" si="6"/>
        <v>0</v>
      </c>
      <c r="H50" s="11">
        <f t="shared" si="6"/>
        <v>1</v>
      </c>
      <c r="I50" s="11">
        <f t="shared" si="6"/>
        <v>1</v>
      </c>
      <c r="J50" s="11">
        <f t="shared" si="6"/>
        <v>19</v>
      </c>
      <c r="K50" s="11">
        <f t="shared" si="6"/>
        <v>10</v>
      </c>
      <c r="L50" s="11">
        <f t="shared" si="6"/>
        <v>34</v>
      </c>
      <c r="M50" s="11">
        <f t="shared" si="6"/>
        <v>0</v>
      </c>
      <c r="N50" s="11">
        <f>SUM(B50:M50)</f>
        <v>222</v>
      </c>
    </row>
    <row r="51" spans="1:14" ht="30" x14ac:dyDescent="0.25">
      <c r="A51" s="16" t="s">
        <v>44</v>
      </c>
      <c r="B51" s="17">
        <v>0.5</v>
      </c>
      <c r="C51" s="17">
        <v>1</v>
      </c>
      <c r="D51" s="17">
        <v>1</v>
      </c>
      <c r="E51" s="17">
        <v>1.75</v>
      </c>
      <c r="F51" s="17">
        <v>1.75</v>
      </c>
      <c r="G51" s="17">
        <v>2</v>
      </c>
      <c r="H51" s="17">
        <v>2.5</v>
      </c>
      <c r="I51" s="17">
        <v>1.25</v>
      </c>
      <c r="J51" s="17">
        <v>1.5</v>
      </c>
      <c r="K51" s="17">
        <v>2.75</v>
      </c>
      <c r="L51" s="17">
        <v>3</v>
      </c>
      <c r="M51" s="17">
        <v>2</v>
      </c>
      <c r="N51" s="8"/>
    </row>
    <row r="52" spans="1:14" ht="45" x14ac:dyDescent="0.25">
      <c r="A52" s="9" t="s">
        <v>48</v>
      </c>
      <c r="B52" s="18">
        <f>B50*B51</f>
        <v>21</v>
      </c>
      <c r="C52" s="18">
        <f t="shared" ref="C52:M52" si="7">C50*C51</f>
        <v>51</v>
      </c>
      <c r="D52" s="18">
        <f t="shared" si="7"/>
        <v>32</v>
      </c>
      <c r="E52" s="18">
        <f t="shared" si="7"/>
        <v>24.5</v>
      </c>
      <c r="F52" s="18">
        <f t="shared" si="7"/>
        <v>31.5</v>
      </c>
      <c r="G52" s="18">
        <f t="shared" si="7"/>
        <v>0</v>
      </c>
      <c r="H52" s="18">
        <f t="shared" si="7"/>
        <v>2.5</v>
      </c>
      <c r="I52" s="18">
        <f t="shared" si="7"/>
        <v>1.25</v>
      </c>
      <c r="J52" s="18">
        <f t="shared" si="7"/>
        <v>28.5</v>
      </c>
      <c r="K52" s="18">
        <f t="shared" si="7"/>
        <v>27.5</v>
      </c>
      <c r="L52" s="18">
        <f t="shared" si="7"/>
        <v>102</v>
      </c>
      <c r="M52" s="18">
        <f t="shared" si="7"/>
        <v>0</v>
      </c>
      <c r="N52" s="19">
        <f>SUM(B52:M52)</f>
        <v>321.75</v>
      </c>
    </row>
    <row r="54" spans="1:14" ht="27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4" x14ac:dyDescent="0.25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4" x14ac:dyDescent="0.25">
      <c r="A56" s="37" t="s">
        <v>49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9" customHeight="1" x14ac:dyDescent="0.25"/>
    <row r="58" spans="1:14" ht="75" x14ac:dyDescent="0.25">
      <c r="A58" s="1" t="s">
        <v>0</v>
      </c>
      <c r="B58" s="2" t="s">
        <v>1</v>
      </c>
      <c r="C58" s="2" t="s">
        <v>2</v>
      </c>
      <c r="D58" s="2" t="s">
        <v>45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7" t="s">
        <v>47</v>
      </c>
    </row>
    <row r="59" spans="1:14" x14ac:dyDescent="0.25">
      <c r="A59" s="31" t="s">
        <v>53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3"/>
      <c r="N59" s="8"/>
    </row>
    <row r="60" spans="1:14" ht="45" x14ac:dyDescent="0.25">
      <c r="A60" s="4" t="s">
        <v>110</v>
      </c>
      <c r="B60" s="3">
        <f t="shared" ref="B60:M60" si="8">(B14+B25+B36+B47)</f>
        <v>90</v>
      </c>
      <c r="C60" s="3">
        <f t="shared" si="8"/>
        <v>51</v>
      </c>
      <c r="D60" s="3">
        <f t="shared" si="8"/>
        <v>23</v>
      </c>
      <c r="E60" s="3">
        <f t="shared" si="8"/>
        <v>6</v>
      </c>
      <c r="F60" s="3">
        <f t="shared" si="8"/>
        <v>12</v>
      </c>
      <c r="G60" s="3">
        <f t="shared" si="8"/>
        <v>0</v>
      </c>
      <c r="H60" s="3">
        <f t="shared" si="8"/>
        <v>1</v>
      </c>
      <c r="I60" s="3">
        <f t="shared" si="8"/>
        <v>0</v>
      </c>
      <c r="J60" s="3">
        <f t="shared" si="8"/>
        <v>12</v>
      </c>
      <c r="K60" s="3">
        <f t="shared" si="8"/>
        <v>1</v>
      </c>
      <c r="L60" s="3">
        <f t="shared" si="8"/>
        <v>3</v>
      </c>
      <c r="M60" s="3">
        <f t="shared" si="8"/>
        <v>0</v>
      </c>
      <c r="N60" s="20">
        <f>SUM(B60:M60)</f>
        <v>199</v>
      </c>
    </row>
    <row r="61" spans="1:14" ht="45" x14ac:dyDescent="0.25">
      <c r="A61" s="4" t="s">
        <v>111</v>
      </c>
      <c r="B61" s="3">
        <f t="shared" ref="B61:M61" si="9">(B15+B26+B37+B48)</f>
        <v>33</v>
      </c>
      <c r="C61" s="3">
        <f t="shared" si="9"/>
        <v>62</v>
      </c>
      <c r="D61" s="3">
        <f t="shared" si="9"/>
        <v>48</v>
      </c>
      <c r="E61" s="3">
        <f t="shared" si="9"/>
        <v>14</v>
      </c>
      <c r="F61" s="3">
        <f t="shared" si="9"/>
        <v>22</v>
      </c>
      <c r="G61" s="3">
        <f t="shared" si="9"/>
        <v>6</v>
      </c>
      <c r="H61" s="3">
        <f t="shared" si="9"/>
        <v>1</v>
      </c>
      <c r="I61" s="3">
        <f t="shared" si="9"/>
        <v>4</v>
      </c>
      <c r="J61" s="3">
        <f t="shared" si="9"/>
        <v>58</v>
      </c>
      <c r="K61" s="3">
        <f t="shared" si="9"/>
        <v>24</v>
      </c>
      <c r="L61" s="3">
        <f t="shared" si="9"/>
        <v>97</v>
      </c>
      <c r="M61" s="3">
        <f t="shared" si="9"/>
        <v>0</v>
      </c>
      <c r="N61" s="20">
        <f>SUM(B61:M61)</f>
        <v>369</v>
      </c>
    </row>
    <row r="62" spans="1:14" ht="45" x14ac:dyDescent="0.25">
      <c r="A62" s="4" t="s">
        <v>112</v>
      </c>
      <c r="B62" s="3">
        <f t="shared" ref="B62:M62" si="10">(B16+B27+B38+B49)</f>
        <v>8</v>
      </c>
      <c r="C62" s="3">
        <f t="shared" si="10"/>
        <v>107</v>
      </c>
      <c r="D62" s="3">
        <f t="shared" si="10"/>
        <v>84</v>
      </c>
      <c r="E62" s="3">
        <f t="shared" si="10"/>
        <v>25</v>
      </c>
      <c r="F62" s="3">
        <f t="shared" si="10"/>
        <v>18</v>
      </c>
      <c r="G62" s="3">
        <f t="shared" si="10"/>
        <v>2</v>
      </c>
      <c r="H62" s="3">
        <f t="shared" si="10"/>
        <v>1</v>
      </c>
      <c r="I62" s="3">
        <f t="shared" si="10"/>
        <v>1</v>
      </c>
      <c r="J62" s="3">
        <f t="shared" si="10"/>
        <v>36</v>
      </c>
      <c r="K62" s="3">
        <f t="shared" si="10"/>
        <v>12</v>
      </c>
      <c r="L62" s="3">
        <f t="shared" si="10"/>
        <v>50</v>
      </c>
      <c r="M62" s="3">
        <f t="shared" si="10"/>
        <v>0</v>
      </c>
      <c r="N62" s="20">
        <f>SUM(B62:M62)</f>
        <v>344</v>
      </c>
    </row>
    <row r="63" spans="1:14" x14ac:dyDescent="0.25">
      <c r="A63" s="10" t="s">
        <v>46</v>
      </c>
      <c r="B63" s="11">
        <f t="shared" ref="B63:M63" si="11">SUM(B60:B62)</f>
        <v>131</v>
      </c>
      <c r="C63" s="11">
        <f t="shared" si="11"/>
        <v>220</v>
      </c>
      <c r="D63" s="11">
        <f t="shared" si="11"/>
        <v>155</v>
      </c>
      <c r="E63" s="11">
        <f t="shared" si="11"/>
        <v>45</v>
      </c>
      <c r="F63" s="11">
        <f t="shared" si="11"/>
        <v>52</v>
      </c>
      <c r="G63" s="11">
        <f t="shared" si="11"/>
        <v>8</v>
      </c>
      <c r="H63" s="11">
        <f t="shared" si="11"/>
        <v>3</v>
      </c>
      <c r="I63" s="11">
        <f t="shared" si="11"/>
        <v>5</v>
      </c>
      <c r="J63" s="11">
        <f t="shared" si="11"/>
        <v>106</v>
      </c>
      <c r="K63" s="11">
        <f t="shared" si="11"/>
        <v>37</v>
      </c>
      <c r="L63" s="11">
        <f t="shared" si="11"/>
        <v>150</v>
      </c>
      <c r="M63" s="11">
        <f t="shared" si="11"/>
        <v>0</v>
      </c>
      <c r="N63" s="11">
        <f>SUM(B63:M63)</f>
        <v>912</v>
      </c>
    </row>
    <row r="64" spans="1:14" ht="30" x14ac:dyDescent="0.25">
      <c r="A64" s="16" t="s">
        <v>44</v>
      </c>
      <c r="B64" s="17">
        <v>0.5</v>
      </c>
      <c r="C64" s="17">
        <v>1</v>
      </c>
      <c r="D64" s="17">
        <v>1</v>
      </c>
      <c r="E64" s="17">
        <v>1.75</v>
      </c>
      <c r="F64" s="17">
        <v>1.75</v>
      </c>
      <c r="G64" s="17">
        <v>2</v>
      </c>
      <c r="H64" s="17">
        <v>2.5</v>
      </c>
      <c r="I64" s="17">
        <v>1.25</v>
      </c>
      <c r="J64" s="17">
        <v>1.5</v>
      </c>
      <c r="K64" s="17">
        <v>2.75</v>
      </c>
      <c r="L64" s="17">
        <v>3</v>
      </c>
      <c r="M64" s="17">
        <v>2</v>
      </c>
      <c r="N64" s="8"/>
    </row>
    <row r="65" spans="1:14" ht="45" x14ac:dyDescent="0.25">
      <c r="A65" s="9" t="s">
        <v>48</v>
      </c>
      <c r="B65" s="18">
        <f>B63*B64</f>
        <v>65.5</v>
      </c>
      <c r="C65" s="18">
        <f t="shared" ref="C65:M65" si="12">C63*C64</f>
        <v>220</v>
      </c>
      <c r="D65" s="18">
        <f t="shared" si="12"/>
        <v>155</v>
      </c>
      <c r="E65" s="18">
        <f t="shared" si="12"/>
        <v>78.75</v>
      </c>
      <c r="F65" s="18">
        <f t="shared" si="12"/>
        <v>91</v>
      </c>
      <c r="G65" s="18">
        <f t="shared" si="12"/>
        <v>16</v>
      </c>
      <c r="H65" s="18">
        <f t="shared" si="12"/>
        <v>7.5</v>
      </c>
      <c r="I65" s="18">
        <f t="shared" si="12"/>
        <v>6.25</v>
      </c>
      <c r="J65" s="18">
        <f t="shared" si="12"/>
        <v>159</v>
      </c>
      <c r="K65" s="18">
        <f t="shared" si="12"/>
        <v>101.75</v>
      </c>
      <c r="L65" s="18">
        <f t="shared" si="12"/>
        <v>450</v>
      </c>
      <c r="M65" s="18">
        <f t="shared" si="12"/>
        <v>0</v>
      </c>
      <c r="N65" s="19">
        <f>SUM(B65:M65)</f>
        <v>1350.75</v>
      </c>
    </row>
    <row r="67" spans="1:14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73" spans="1:14" ht="34.5" customHeight="1" x14ac:dyDescent="0.25"/>
    <row r="82" spans="1:13" x14ac:dyDescent="0.25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25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</sheetData>
  <mergeCells count="13">
    <mergeCell ref="A9:N9"/>
    <mergeCell ref="A1:N1"/>
    <mergeCell ref="A3:N3"/>
    <mergeCell ref="A5:N5"/>
    <mergeCell ref="A6:N6"/>
    <mergeCell ref="A7:N7"/>
    <mergeCell ref="A59:M59"/>
    <mergeCell ref="A10:N10"/>
    <mergeCell ref="A13:M13"/>
    <mergeCell ref="A24:M24"/>
    <mergeCell ref="A35:M35"/>
    <mergeCell ref="A46:M46"/>
    <mergeCell ref="A56:N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4"/>
  <sheetViews>
    <sheetView view="pageBreakPreview" zoomScaleNormal="100" zoomScaleSheetLayoutView="100" workbookViewId="0">
      <selection activeCell="A4" sqref="A4"/>
    </sheetView>
  </sheetViews>
  <sheetFormatPr defaultRowHeight="15" x14ac:dyDescent="0.25"/>
  <cols>
    <col min="1" max="1" width="12.5703125" customWidth="1"/>
  </cols>
  <sheetData>
    <row r="1" spans="1:14" x14ac:dyDescent="0.25">
      <c r="A1" s="30" t="s">
        <v>103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8" t="str">
        <f>'7-8AM'!A3:N3</f>
        <v>ROAD: NAIROBI - MOMBASA (A8) ROAD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9" customHeight="1" x14ac:dyDescent="0.25"/>
    <row r="5" spans="1:14" x14ac:dyDescent="0.25">
      <c r="A5" s="39" t="str">
        <f>'7-8AM'!A5:N5</f>
        <v>SITE: ATHI RIVER AREA, MACHAKOS COUNTY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9" t="str">
        <f>'7-8AM'!A6:N6</f>
        <v>PROJECT: EXISTING COMMERCIAL DEVELOPMENT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x14ac:dyDescent="0.25">
      <c r="A7" s="39" t="str">
        <f>'7-8AM'!A7:N7</f>
        <v>C/O: CRYSTAL RIVERS MALL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7.5" customHeight="1" x14ac:dyDescent="0.25"/>
    <row r="9" spans="1:14" x14ac:dyDescent="0.25">
      <c r="A9" s="35" t="s">
        <v>17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34" t="s">
        <v>43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ht="9" customHeight="1" x14ac:dyDescent="0.25"/>
    <row r="12" spans="1:14" ht="71.25" customHeight="1" x14ac:dyDescent="0.25">
      <c r="A12" s="1" t="s">
        <v>0</v>
      </c>
      <c r="B12" s="2" t="s">
        <v>1</v>
      </c>
      <c r="C12" s="2" t="s">
        <v>2</v>
      </c>
      <c r="D12" s="2" t="s">
        <v>45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7" t="s">
        <v>47</v>
      </c>
    </row>
    <row r="13" spans="1:14" ht="20.25" customHeight="1" x14ac:dyDescent="0.25">
      <c r="A13" s="31" t="s">
        <v>25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8"/>
    </row>
    <row r="14" spans="1:14" ht="28.5" customHeight="1" x14ac:dyDescent="0.25">
      <c r="A14" s="4" t="s">
        <v>110</v>
      </c>
      <c r="B14" s="3">
        <v>23</v>
      </c>
      <c r="C14" s="3">
        <v>7</v>
      </c>
      <c r="D14" s="3">
        <v>7</v>
      </c>
      <c r="E14" s="3">
        <v>1</v>
      </c>
      <c r="F14" s="3">
        <v>3</v>
      </c>
      <c r="G14" s="3">
        <v>1</v>
      </c>
      <c r="H14" s="3">
        <v>0</v>
      </c>
      <c r="I14" s="3">
        <v>0</v>
      </c>
      <c r="J14" s="3">
        <v>3</v>
      </c>
      <c r="K14" s="3">
        <v>3</v>
      </c>
      <c r="L14" s="3">
        <v>1</v>
      </c>
      <c r="M14" s="3">
        <v>0</v>
      </c>
      <c r="N14" s="20">
        <f>SUM(B14:M14)</f>
        <v>49</v>
      </c>
    </row>
    <row r="15" spans="1:14" ht="31.5" customHeight="1" x14ac:dyDescent="0.25">
      <c r="A15" s="4" t="s">
        <v>111</v>
      </c>
      <c r="B15" s="3">
        <v>10</v>
      </c>
      <c r="C15" s="3">
        <v>13</v>
      </c>
      <c r="D15" s="3">
        <v>11</v>
      </c>
      <c r="E15" s="3">
        <v>3</v>
      </c>
      <c r="F15" s="3">
        <v>6</v>
      </c>
      <c r="G15" s="3">
        <v>1</v>
      </c>
      <c r="H15" s="3">
        <v>0</v>
      </c>
      <c r="I15" s="3">
        <v>3</v>
      </c>
      <c r="J15" s="3">
        <v>17</v>
      </c>
      <c r="K15" s="3">
        <v>8</v>
      </c>
      <c r="L15" s="3">
        <v>16</v>
      </c>
      <c r="M15" s="3">
        <v>0</v>
      </c>
      <c r="N15" s="20">
        <f>SUM(B15:M15)</f>
        <v>88</v>
      </c>
    </row>
    <row r="16" spans="1:14" ht="27" customHeight="1" x14ac:dyDescent="0.25">
      <c r="A16" s="4" t="s">
        <v>112</v>
      </c>
      <c r="B16" s="3">
        <v>2</v>
      </c>
      <c r="C16" s="3">
        <v>21</v>
      </c>
      <c r="D16" s="3">
        <v>24</v>
      </c>
      <c r="E16" s="3">
        <v>11</v>
      </c>
      <c r="F16" s="3">
        <v>1</v>
      </c>
      <c r="G16" s="3">
        <v>0</v>
      </c>
      <c r="H16" s="3">
        <v>0</v>
      </c>
      <c r="I16" s="3">
        <v>2</v>
      </c>
      <c r="J16" s="3">
        <v>4</v>
      </c>
      <c r="K16" s="3">
        <v>3</v>
      </c>
      <c r="L16" s="3">
        <v>10</v>
      </c>
      <c r="M16" s="3">
        <v>0</v>
      </c>
      <c r="N16" s="20">
        <f>SUM(B16:M16)</f>
        <v>78</v>
      </c>
    </row>
    <row r="17" spans="1:14" ht="47.25" customHeight="1" x14ac:dyDescent="0.25">
      <c r="A17" s="10" t="s">
        <v>46</v>
      </c>
      <c r="B17" s="11">
        <f t="shared" ref="B17:M17" si="0">SUM(B14:B16)</f>
        <v>35</v>
      </c>
      <c r="C17" s="11">
        <f t="shared" si="0"/>
        <v>41</v>
      </c>
      <c r="D17" s="11">
        <f t="shared" si="0"/>
        <v>42</v>
      </c>
      <c r="E17" s="11">
        <f t="shared" si="0"/>
        <v>15</v>
      </c>
      <c r="F17" s="11">
        <f t="shared" si="0"/>
        <v>10</v>
      </c>
      <c r="G17" s="11">
        <f t="shared" si="0"/>
        <v>2</v>
      </c>
      <c r="H17" s="11">
        <f t="shared" si="0"/>
        <v>0</v>
      </c>
      <c r="I17" s="11">
        <f t="shared" si="0"/>
        <v>5</v>
      </c>
      <c r="J17" s="11">
        <f t="shared" si="0"/>
        <v>24</v>
      </c>
      <c r="K17" s="11">
        <f t="shared" si="0"/>
        <v>14</v>
      </c>
      <c r="L17" s="11">
        <f t="shared" si="0"/>
        <v>27</v>
      </c>
      <c r="M17" s="11">
        <f t="shared" si="0"/>
        <v>0</v>
      </c>
      <c r="N17" s="11">
        <f>SUM(B17:M17)</f>
        <v>215</v>
      </c>
    </row>
    <row r="18" spans="1:14" ht="30" x14ac:dyDescent="0.25">
      <c r="A18" s="16" t="s">
        <v>44</v>
      </c>
      <c r="B18" s="17">
        <v>0.5</v>
      </c>
      <c r="C18" s="17">
        <v>1</v>
      </c>
      <c r="D18" s="17">
        <v>1</v>
      </c>
      <c r="E18" s="17">
        <v>1.75</v>
      </c>
      <c r="F18" s="17">
        <v>1.75</v>
      </c>
      <c r="G18" s="17">
        <v>2</v>
      </c>
      <c r="H18" s="17">
        <v>2.5</v>
      </c>
      <c r="I18" s="17">
        <v>1.25</v>
      </c>
      <c r="J18" s="17">
        <v>1.5</v>
      </c>
      <c r="K18" s="17">
        <v>2.75</v>
      </c>
      <c r="L18" s="17">
        <v>3</v>
      </c>
      <c r="M18" s="17">
        <v>2</v>
      </c>
      <c r="N18" s="8"/>
    </row>
    <row r="19" spans="1:14" ht="45" x14ac:dyDescent="0.25">
      <c r="A19" s="9" t="s">
        <v>48</v>
      </c>
      <c r="B19" s="18">
        <f>B17*B18</f>
        <v>17.5</v>
      </c>
      <c r="C19" s="18">
        <f t="shared" ref="C19:M19" si="1">C17*C18</f>
        <v>41</v>
      </c>
      <c r="D19" s="18">
        <f t="shared" si="1"/>
        <v>42</v>
      </c>
      <c r="E19" s="18">
        <f t="shared" si="1"/>
        <v>26.25</v>
      </c>
      <c r="F19" s="18">
        <f t="shared" si="1"/>
        <v>17.5</v>
      </c>
      <c r="G19" s="18">
        <f t="shared" si="1"/>
        <v>4</v>
      </c>
      <c r="H19" s="18">
        <f t="shared" si="1"/>
        <v>0</v>
      </c>
      <c r="I19" s="18">
        <f t="shared" si="1"/>
        <v>6.25</v>
      </c>
      <c r="J19" s="18">
        <f t="shared" si="1"/>
        <v>36</v>
      </c>
      <c r="K19" s="18">
        <f t="shared" si="1"/>
        <v>38.5</v>
      </c>
      <c r="L19" s="18">
        <f t="shared" si="1"/>
        <v>81</v>
      </c>
      <c r="M19" s="18">
        <f t="shared" si="1"/>
        <v>0</v>
      </c>
      <c r="N19" s="19">
        <f>SUM(B19:M19)</f>
        <v>310</v>
      </c>
    </row>
    <row r="20" spans="1:14" x14ac:dyDescent="0.25">
      <c r="A20" s="5"/>
    </row>
    <row r="21" spans="1:14" x14ac:dyDescent="0.25">
      <c r="A21" s="5"/>
    </row>
    <row r="22" spans="1:14" x14ac:dyDescent="0.25">
      <c r="A22" s="5"/>
    </row>
    <row r="23" spans="1:14" ht="75" x14ac:dyDescent="0.25">
      <c r="A23" s="1" t="s">
        <v>0</v>
      </c>
      <c r="B23" s="2" t="s">
        <v>1</v>
      </c>
      <c r="C23" s="2" t="s">
        <v>2</v>
      </c>
      <c r="D23" s="2" t="s">
        <v>45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  <c r="N23" s="7" t="s">
        <v>47</v>
      </c>
    </row>
    <row r="24" spans="1:14" x14ac:dyDescent="0.25">
      <c r="A24" s="31" t="s">
        <v>80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8"/>
    </row>
    <row r="25" spans="1:14" ht="27" customHeight="1" x14ac:dyDescent="0.25">
      <c r="A25" s="4" t="s">
        <v>110</v>
      </c>
      <c r="B25" s="3">
        <v>15</v>
      </c>
      <c r="C25" s="3">
        <v>11</v>
      </c>
      <c r="D25" s="3">
        <v>5</v>
      </c>
      <c r="E25" s="3">
        <v>2</v>
      </c>
      <c r="F25" s="3">
        <v>3</v>
      </c>
      <c r="G25" s="3">
        <v>0</v>
      </c>
      <c r="H25" s="3">
        <v>0</v>
      </c>
      <c r="I25" s="3">
        <v>0</v>
      </c>
      <c r="J25" s="3">
        <v>2</v>
      </c>
      <c r="K25" s="3">
        <v>2</v>
      </c>
      <c r="L25" s="3">
        <v>3</v>
      </c>
      <c r="M25" s="3">
        <v>0</v>
      </c>
      <c r="N25" s="20">
        <f>SUM(B25:M25)</f>
        <v>43</v>
      </c>
    </row>
    <row r="26" spans="1:14" ht="45" x14ac:dyDescent="0.25">
      <c r="A26" s="4" t="s">
        <v>111</v>
      </c>
      <c r="B26" s="3">
        <v>9</v>
      </c>
      <c r="C26" s="3">
        <v>6</v>
      </c>
      <c r="D26" s="3">
        <v>10</v>
      </c>
      <c r="E26" s="3">
        <v>5</v>
      </c>
      <c r="F26" s="3">
        <v>6</v>
      </c>
      <c r="G26" s="3">
        <v>0</v>
      </c>
      <c r="H26" s="3">
        <v>0</v>
      </c>
      <c r="I26" s="3">
        <v>0</v>
      </c>
      <c r="J26" s="3">
        <v>9</v>
      </c>
      <c r="K26" s="3">
        <v>12</v>
      </c>
      <c r="L26" s="3">
        <v>25</v>
      </c>
      <c r="M26" s="3">
        <v>0</v>
      </c>
      <c r="N26" s="20">
        <f>SUM(B26:M26)</f>
        <v>82</v>
      </c>
    </row>
    <row r="27" spans="1:14" ht="45" x14ac:dyDescent="0.25">
      <c r="A27" s="4" t="s">
        <v>112</v>
      </c>
      <c r="B27" s="3">
        <v>2</v>
      </c>
      <c r="C27" s="3">
        <v>26</v>
      </c>
      <c r="D27" s="3">
        <v>21</v>
      </c>
      <c r="E27" s="3">
        <v>7</v>
      </c>
      <c r="F27" s="3">
        <v>12</v>
      </c>
      <c r="G27" s="3">
        <v>0</v>
      </c>
      <c r="H27" s="3">
        <v>0</v>
      </c>
      <c r="I27" s="3">
        <v>2</v>
      </c>
      <c r="J27" s="3">
        <v>7</v>
      </c>
      <c r="K27" s="3">
        <v>3</v>
      </c>
      <c r="L27" s="3">
        <v>10</v>
      </c>
      <c r="M27" s="3">
        <v>0</v>
      </c>
      <c r="N27" s="20">
        <f>SUM(B27:M27)</f>
        <v>90</v>
      </c>
    </row>
    <row r="28" spans="1:14" x14ac:dyDescent="0.25">
      <c r="A28" s="10" t="s">
        <v>46</v>
      </c>
      <c r="B28" s="11">
        <f t="shared" ref="B28:M28" si="2">SUM(B25:B27)</f>
        <v>26</v>
      </c>
      <c r="C28" s="11">
        <f t="shared" si="2"/>
        <v>43</v>
      </c>
      <c r="D28" s="11">
        <f t="shared" si="2"/>
        <v>36</v>
      </c>
      <c r="E28" s="11">
        <f t="shared" si="2"/>
        <v>14</v>
      </c>
      <c r="F28" s="11">
        <f t="shared" si="2"/>
        <v>21</v>
      </c>
      <c r="G28" s="11">
        <f t="shared" si="2"/>
        <v>0</v>
      </c>
      <c r="H28" s="11">
        <f t="shared" si="2"/>
        <v>0</v>
      </c>
      <c r="I28" s="11">
        <f t="shared" si="2"/>
        <v>2</v>
      </c>
      <c r="J28" s="11">
        <f t="shared" si="2"/>
        <v>18</v>
      </c>
      <c r="K28" s="11">
        <f t="shared" si="2"/>
        <v>17</v>
      </c>
      <c r="L28" s="11">
        <f t="shared" si="2"/>
        <v>38</v>
      </c>
      <c r="M28" s="11">
        <f t="shared" si="2"/>
        <v>0</v>
      </c>
      <c r="N28" s="11">
        <f>SUM(B28:M28)</f>
        <v>215</v>
      </c>
    </row>
    <row r="29" spans="1:14" ht="30" x14ac:dyDescent="0.25">
      <c r="A29" s="16" t="s">
        <v>44</v>
      </c>
      <c r="B29" s="17">
        <v>0.5</v>
      </c>
      <c r="C29" s="17">
        <v>1</v>
      </c>
      <c r="D29" s="17">
        <v>1</v>
      </c>
      <c r="E29" s="17">
        <v>1.75</v>
      </c>
      <c r="F29" s="17">
        <v>1.75</v>
      </c>
      <c r="G29" s="17">
        <v>2</v>
      </c>
      <c r="H29" s="17">
        <v>2.5</v>
      </c>
      <c r="I29" s="17">
        <v>1.25</v>
      </c>
      <c r="J29" s="17">
        <v>1.5</v>
      </c>
      <c r="K29" s="17">
        <v>2.75</v>
      </c>
      <c r="L29" s="17">
        <v>3</v>
      </c>
      <c r="M29" s="17">
        <v>2</v>
      </c>
      <c r="N29" s="8"/>
    </row>
    <row r="30" spans="1:14" ht="45" x14ac:dyDescent="0.25">
      <c r="A30" s="9" t="s">
        <v>48</v>
      </c>
      <c r="B30" s="18">
        <f>B28*B29</f>
        <v>13</v>
      </c>
      <c r="C30" s="18">
        <f t="shared" ref="C30:M30" si="3">C28*C29</f>
        <v>43</v>
      </c>
      <c r="D30" s="18">
        <f t="shared" si="3"/>
        <v>36</v>
      </c>
      <c r="E30" s="18">
        <f t="shared" si="3"/>
        <v>24.5</v>
      </c>
      <c r="F30" s="18">
        <f t="shared" si="3"/>
        <v>36.75</v>
      </c>
      <c r="G30" s="18">
        <f t="shared" si="3"/>
        <v>0</v>
      </c>
      <c r="H30" s="18">
        <f t="shared" si="3"/>
        <v>0</v>
      </c>
      <c r="I30" s="18">
        <f t="shared" si="3"/>
        <v>2.5</v>
      </c>
      <c r="J30" s="18">
        <f t="shared" si="3"/>
        <v>27</v>
      </c>
      <c r="K30" s="18">
        <f t="shared" si="3"/>
        <v>46.75</v>
      </c>
      <c r="L30" s="18">
        <f t="shared" si="3"/>
        <v>114</v>
      </c>
      <c r="M30" s="18">
        <f t="shared" si="3"/>
        <v>0</v>
      </c>
      <c r="N30" s="19">
        <f>SUM(B30:M30)</f>
        <v>343.5</v>
      </c>
    </row>
    <row r="31" spans="1:14" x14ac:dyDescent="0.25">
      <c r="A31" s="12"/>
    </row>
    <row r="32" spans="1:14" ht="24.75" customHeight="1" x14ac:dyDescent="0.25">
      <c r="A32" s="12"/>
    </row>
    <row r="33" spans="1:14" x14ac:dyDescent="0.25">
      <c r="A33" s="12"/>
    </row>
    <row r="34" spans="1:14" ht="45" customHeight="1" x14ac:dyDescent="0.25">
      <c r="A34" s="1" t="s">
        <v>0</v>
      </c>
      <c r="B34" s="2" t="s">
        <v>1</v>
      </c>
      <c r="C34" s="2" t="s">
        <v>2</v>
      </c>
      <c r="D34" s="2" t="s">
        <v>45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7" t="s">
        <v>47</v>
      </c>
    </row>
    <row r="35" spans="1:14" ht="30.75" customHeight="1" x14ac:dyDescent="0.25">
      <c r="A35" s="31" t="s">
        <v>81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8"/>
    </row>
    <row r="36" spans="1:14" ht="45" x14ac:dyDescent="0.25">
      <c r="A36" s="4" t="s">
        <v>110</v>
      </c>
      <c r="B36" s="3">
        <v>18</v>
      </c>
      <c r="C36" s="3">
        <v>7</v>
      </c>
      <c r="D36" s="3">
        <v>4</v>
      </c>
      <c r="E36" s="3">
        <v>1</v>
      </c>
      <c r="F36" s="3">
        <v>2</v>
      </c>
      <c r="G36" s="3">
        <v>0</v>
      </c>
      <c r="H36" s="3">
        <v>0</v>
      </c>
      <c r="I36" s="3">
        <v>0</v>
      </c>
      <c r="J36" s="3">
        <v>2</v>
      </c>
      <c r="K36" s="3">
        <v>2</v>
      </c>
      <c r="L36" s="3">
        <v>0</v>
      </c>
      <c r="M36" s="3">
        <v>0</v>
      </c>
      <c r="N36" s="20">
        <f>SUM(B36:M36)</f>
        <v>36</v>
      </c>
    </row>
    <row r="37" spans="1:14" ht="45" x14ac:dyDescent="0.25">
      <c r="A37" s="4" t="s">
        <v>111</v>
      </c>
      <c r="B37" s="3">
        <v>6</v>
      </c>
      <c r="C37" s="3">
        <v>6</v>
      </c>
      <c r="D37" s="3">
        <v>9</v>
      </c>
      <c r="E37" s="3">
        <v>5</v>
      </c>
      <c r="F37" s="3">
        <v>2</v>
      </c>
      <c r="G37" s="3">
        <v>1</v>
      </c>
      <c r="H37" s="3">
        <v>0</v>
      </c>
      <c r="I37" s="3">
        <v>0</v>
      </c>
      <c r="J37" s="3">
        <v>9</v>
      </c>
      <c r="K37" s="3">
        <v>8</v>
      </c>
      <c r="L37" s="3">
        <v>10</v>
      </c>
      <c r="M37" s="3">
        <v>0</v>
      </c>
      <c r="N37" s="20">
        <f>SUM(B37:M37)</f>
        <v>56</v>
      </c>
    </row>
    <row r="38" spans="1:14" ht="45" x14ac:dyDescent="0.25">
      <c r="A38" s="4" t="s">
        <v>112</v>
      </c>
      <c r="B38" s="3">
        <v>2</v>
      </c>
      <c r="C38" s="3">
        <v>23</v>
      </c>
      <c r="D38" s="3">
        <v>25</v>
      </c>
      <c r="E38" s="3">
        <v>4</v>
      </c>
      <c r="F38" s="3">
        <v>3</v>
      </c>
      <c r="G38" s="3">
        <v>0</v>
      </c>
      <c r="H38" s="3">
        <v>1</v>
      </c>
      <c r="I38" s="3">
        <v>2</v>
      </c>
      <c r="J38" s="3">
        <v>9</v>
      </c>
      <c r="K38" s="3">
        <v>5</v>
      </c>
      <c r="L38" s="3">
        <v>8</v>
      </c>
      <c r="M38" s="3">
        <v>0</v>
      </c>
      <c r="N38" s="20">
        <f>SUM(B38:M38)</f>
        <v>82</v>
      </c>
    </row>
    <row r="39" spans="1:14" ht="53.25" customHeight="1" x14ac:dyDescent="0.25">
      <c r="A39" s="10" t="s">
        <v>46</v>
      </c>
      <c r="B39" s="11">
        <f t="shared" ref="B39:M39" si="4">SUM(B36:B38)</f>
        <v>26</v>
      </c>
      <c r="C39" s="11">
        <f t="shared" si="4"/>
        <v>36</v>
      </c>
      <c r="D39" s="11">
        <f t="shared" si="4"/>
        <v>38</v>
      </c>
      <c r="E39" s="11">
        <f t="shared" si="4"/>
        <v>10</v>
      </c>
      <c r="F39" s="11">
        <f t="shared" si="4"/>
        <v>7</v>
      </c>
      <c r="G39" s="11">
        <f t="shared" si="4"/>
        <v>1</v>
      </c>
      <c r="H39" s="11">
        <f t="shared" si="4"/>
        <v>1</v>
      </c>
      <c r="I39" s="11">
        <f t="shared" si="4"/>
        <v>2</v>
      </c>
      <c r="J39" s="11">
        <f t="shared" si="4"/>
        <v>20</v>
      </c>
      <c r="K39" s="11">
        <f t="shared" si="4"/>
        <v>15</v>
      </c>
      <c r="L39" s="11">
        <f t="shared" si="4"/>
        <v>18</v>
      </c>
      <c r="M39" s="11">
        <f t="shared" si="4"/>
        <v>0</v>
      </c>
      <c r="N39" s="11">
        <f>SUM(B39:M39)</f>
        <v>174</v>
      </c>
    </row>
    <row r="40" spans="1:14" ht="30" x14ac:dyDescent="0.25">
      <c r="A40" s="16" t="s">
        <v>44</v>
      </c>
      <c r="B40" s="17">
        <v>0.5</v>
      </c>
      <c r="C40" s="17">
        <v>1</v>
      </c>
      <c r="D40" s="17">
        <v>1</v>
      </c>
      <c r="E40" s="17">
        <v>1.75</v>
      </c>
      <c r="F40" s="17">
        <v>1.75</v>
      </c>
      <c r="G40" s="17">
        <v>2</v>
      </c>
      <c r="H40" s="17">
        <v>2.5</v>
      </c>
      <c r="I40" s="17">
        <v>1.25</v>
      </c>
      <c r="J40" s="17">
        <v>1.5</v>
      </c>
      <c r="K40" s="17">
        <v>2.75</v>
      </c>
      <c r="L40" s="17">
        <v>3</v>
      </c>
      <c r="M40" s="17">
        <v>2</v>
      </c>
      <c r="N40" s="8"/>
    </row>
    <row r="41" spans="1:14" ht="45" x14ac:dyDescent="0.25">
      <c r="A41" s="9" t="s">
        <v>48</v>
      </c>
      <c r="B41" s="18">
        <f>B39*B40</f>
        <v>13</v>
      </c>
      <c r="C41" s="18">
        <f t="shared" ref="C41:M41" si="5">C39*C40</f>
        <v>36</v>
      </c>
      <c r="D41" s="18">
        <f t="shared" si="5"/>
        <v>38</v>
      </c>
      <c r="E41" s="18">
        <f t="shared" si="5"/>
        <v>17.5</v>
      </c>
      <c r="F41" s="18">
        <f t="shared" si="5"/>
        <v>12.25</v>
      </c>
      <c r="G41" s="18">
        <f t="shared" si="5"/>
        <v>2</v>
      </c>
      <c r="H41" s="18">
        <f t="shared" si="5"/>
        <v>2.5</v>
      </c>
      <c r="I41" s="18">
        <f t="shared" si="5"/>
        <v>2.5</v>
      </c>
      <c r="J41" s="18">
        <f t="shared" si="5"/>
        <v>30</v>
      </c>
      <c r="K41" s="18">
        <f t="shared" si="5"/>
        <v>41.25</v>
      </c>
      <c r="L41" s="18">
        <f t="shared" si="5"/>
        <v>54</v>
      </c>
      <c r="M41" s="18">
        <f t="shared" si="5"/>
        <v>0</v>
      </c>
      <c r="N41" s="19">
        <f>SUM(B41:M41)</f>
        <v>249</v>
      </c>
    </row>
    <row r="42" spans="1:14" ht="32.25" customHeight="1" x14ac:dyDescent="0.25"/>
    <row r="43" spans="1:14" ht="27.75" customHeight="1" x14ac:dyDescent="0.25"/>
    <row r="45" spans="1:14" ht="62.25" customHeight="1" x14ac:dyDescent="0.25">
      <c r="A45" s="1" t="s">
        <v>0</v>
      </c>
      <c r="B45" s="2" t="s">
        <v>1</v>
      </c>
      <c r="C45" s="2" t="s">
        <v>2</v>
      </c>
      <c r="D45" s="2" t="s">
        <v>45</v>
      </c>
      <c r="E45" s="2" t="s">
        <v>3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8</v>
      </c>
      <c r="K45" s="2" t="s">
        <v>9</v>
      </c>
      <c r="L45" s="2" t="s">
        <v>10</v>
      </c>
      <c r="M45" s="2" t="s">
        <v>11</v>
      </c>
      <c r="N45" s="7" t="s">
        <v>47</v>
      </c>
    </row>
    <row r="46" spans="1:14" ht="21.75" customHeight="1" x14ac:dyDescent="0.25">
      <c r="A46" s="31" t="s">
        <v>82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8"/>
    </row>
    <row r="47" spans="1:14" ht="26.25" customHeight="1" x14ac:dyDescent="0.25">
      <c r="A47" s="4" t="s">
        <v>110</v>
      </c>
      <c r="B47" s="3">
        <v>15</v>
      </c>
      <c r="C47" s="3">
        <v>12</v>
      </c>
      <c r="D47" s="3">
        <v>8</v>
      </c>
      <c r="E47" s="3">
        <v>4</v>
      </c>
      <c r="F47" s="3">
        <v>5</v>
      </c>
      <c r="G47" s="3">
        <v>0</v>
      </c>
      <c r="H47" s="3">
        <v>1</v>
      </c>
      <c r="I47" s="3">
        <v>0</v>
      </c>
      <c r="J47" s="3">
        <v>3</v>
      </c>
      <c r="K47" s="3">
        <v>0</v>
      </c>
      <c r="L47" s="3">
        <v>0</v>
      </c>
      <c r="M47" s="3">
        <v>0</v>
      </c>
      <c r="N47" s="20">
        <f>SUM(B47:M47)</f>
        <v>48</v>
      </c>
    </row>
    <row r="48" spans="1:14" ht="45" x14ac:dyDescent="0.25">
      <c r="A48" s="4" t="s">
        <v>111</v>
      </c>
      <c r="B48" s="3">
        <v>8</v>
      </c>
      <c r="C48" s="3">
        <v>14</v>
      </c>
      <c r="D48" s="3">
        <v>9</v>
      </c>
      <c r="E48" s="3">
        <v>2</v>
      </c>
      <c r="F48" s="3">
        <v>2</v>
      </c>
      <c r="G48" s="3">
        <v>3</v>
      </c>
      <c r="H48" s="3">
        <v>0</v>
      </c>
      <c r="I48" s="3">
        <v>0</v>
      </c>
      <c r="J48" s="3">
        <v>14</v>
      </c>
      <c r="K48" s="3">
        <v>7</v>
      </c>
      <c r="L48" s="3">
        <v>20</v>
      </c>
      <c r="M48" s="3">
        <v>0</v>
      </c>
      <c r="N48" s="20">
        <f>SUM(B48:M48)</f>
        <v>79</v>
      </c>
    </row>
    <row r="49" spans="1:14" ht="28.5" customHeight="1" x14ac:dyDescent="0.25">
      <c r="A49" s="4" t="s">
        <v>112</v>
      </c>
      <c r="B49" s="3">
        <v>0</v>
      </c>
      <c r="C49" s="3">
        <v>24</v>
      </c>
      <c r="D49" s="3">
        <v>21</v>
      </c>
      <c r="E49" s="3">
        <v>5</v>
      </c>
      <c r="F49" s="3">
        <v>2</v>
      </c>
      <c r="G49" s="3">
        <v>0</v>
      </c>
      <c r="H49" s="3">
        <v>1</v>
      </c>
      <c r="I49" s="3">
        <v>2</v>
      </c>
      <c r="J49" s="3">
        <v>2</v>
      </c>
      <c r="K49" s="3">
        <v>4</v>
      </c>
      <c r="L49" s="3">
        <v>9</v>
      </c>
      <c r="M49" s="3">
        <v>0</v>
      </c>
      <c r="N49" s="20">
        <f>SUM(B49:M49)</f>
        <v>70</v>
      </c>
    </row>
    <row r="50" spans="1:14" x14ac:dyDescent="0.25">
      <c r="A50" s="10" t="s">
        <v>46</v>
      </c>
      <c r="B50" s="11">
        <f t="shared" ref="B50:M50" si="6">SUM(B47:B49)</f>
        <v>23</v>
      </c>
      <c r="C50" s="11">
        <f t="shared" si="6"/>
        <v>50</v>
      </c>
      <c r="D50" s="11">
        <f t="shared" si="6"/>
        <v>38</v>
      </c>
      <c r="E50" s="11">
        <f t="shared" si="6"/>
        <v>11</v>
      </c>
      <c r="F50" s="11">
        <f t="shared" si="6"/>
        <v>9</v>
      </c>
      <c r="G50" s="11">
        <f t="shared" si="6"/>
        <v>3</v>
      </c>
      <c r="H50" s="11">
        <f t="shared" si="6"/>
        <v>2</v>
      </c>
      <c r="I50" s="11">
        <f t="shared" si="6"/>
        <v>2</v>
      </c>
      <c r="J50" s="11">
        <f t="shared" si="6"/>
        <v>19</v>
      </c>
      <c r="K50" s="11">
        <f t="shared" si="6"/>
        <v>11</v>
      </c>
      <c r="L50" s="11">
        <f t="shared" si="6"/>
        <v>29</v>
      </c>
      <c r="M50" s="11">
        <f t="shared" si="6"/>
        <v>0</v>
      </c>
      <c r="N50" s="11">
        <f>SUM(B50:M50)</f>
        <v>197</v>
      </c>
    </row>
    <row r="51" spans="1:14" ht="30" x14ac:dyDescent="0.25">
      <c r="A51" s="16" t="s">
        <v>44</v>
      </c>
      <c r="B51" s="17">
        <v>0.5</v>
      </c>
      <c r="C51" s="17">
        <v>1</v>
      </c>
      <c r="D51" s="17">
        <v>1</v>
      </c>
      <c r="E51" s="17">
        <v>1.75</v>
      </c>
      <c r="F51" s="17">
        <v>1.75</v>
      </c>
      <c r="G51" s="17">
        <v>2</v>
      </c>
      <c r="H51" s="17">
        <v>2.5</v>
      </c>
      <c r="I51" s="17">
        <v>1.25</v>
      </c>
      <c r="J51" s="17">
        <v>1.5</v>
      </c>
      <c r="K51" s="17">
        <v>2.75</v>
      </c>
      <c r="L51" s="17">
        <v>3</v>
      </c>
      <c r="M51" s="17">
        <v>2</v>
      </c>
      <c r="N51" s="8"/>
    </row>
    <row r="52" spans="1:14" ht="45" x14ac:dyDescent="0.25">
      <c r="A52" s="9" t="s">
        <v>48</v>
      </c>
      <c r="B52" s="18">
        <f>B50*B51</f>
        <v>11.5</v>
      </c>
      <c r="C52" s="18">
        <f t="shared" ref="C52:M52" si="7">C50*C51</f>
        <v>50</v>
      </c>
      <c r="D52" s="18">
        <f t="shared" si="7"/>
        <v>38</v>
      </c>
      <c r="E52" s="18">
        <f t="shared" si="7"/>
        <v>19.25</v>
      </c>
      <c r="F52" s="18">
        <f t="shared" si="7"/>
        <v>15.75</v>
      </c>
      <c r="G52" s="18">
        <f t="shared" si="7"/>
        <v>6</v>
      </c>
      <c r="H52" s="18">
        <f t="shared" si="7"/>
        <v>5</v>
      </c>
      <c r="I52" s="18">
        <f t="shared" si="7"/>
        <v>2.5</v>
      </c>
      <c r="J52" s="18">
        <f t="shared" si="7"/>
        <v>28.5</v>
      </c>
      <c r="K52" s="18">
        <f t="shared" si="7"/>
        <v>30.25</v>
      </c>
      <c r="L52" s="18">
        <f t="shared" si="7"/>
        <v>87</v>
      </c>
      <c r="M52" s="18">
        <f t="shared" si="7"/>
        <v>0</v>
      </c>
      <c r="N52" s="19">
        <f>SUM(B52:M52)</f>
        <v>293.75</v>
      </c>
    </row>
    <row r="54" spans="1:14" ht="27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4" x14ac:dyDescent="0.25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4" x14ac:dyDescent="0.25">
      <c r="A56" s="37" t="s">
        <v>49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9" customHeight="1" x14ac:dyDescent="0.25"/>
    <row r="58" spans="1:14" ht="75" x14ac:dyDescent="0.25">
      <c r="A58" s="1"/>
      <c r="B58" s="2" t="s">
        <v>1</v>
      </c>
      <c r="C58" s="2" t="s">
        <v>2</v>
      </c>
      <c r="D58" s="2" t="s">
        <v>45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7" t="s">
        <v>47</v>
      </c>
    </row>
    <row r="59" spans="1:14" x14ac:dyDescent="0.25">
      <c r="A59" s="31" t="s">
        <v>74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3"/>
      <c r="N59" s="8"/>
    </row>
    <row r="60" spans="1:14" ht="45" x14ac:dyDescent="0.25">
      <c r="A60" s="4" t="s">
        <v>110</v>
      </c>
      <c r="B60" s="3">
        <f t="shared" ref="B60:M60" si="8">(B14+B25+B36+B47)</f>
        <v>71</v>
      </c>
      <c r="C60" s="3">
        <f t="shared" si="8"/>
        <v>37</v>
      </c>
      <c r="D60" s="3">
        <f t="shared" si="8"/>
        <v>24</v>
      </c>
      <c r="E60" s="3">
        <f t="shared" si="8"/>
        <v>8</v>
      </c>
      <c r="F60" s="3">
        <f t="shared" si="8"/>
        <v>13</v>
      </c>
      <c r="G60" s="3">
        <f t="shared" si="8"/>
        <v>1</v>
      </c>
      <c r="H60" s="3">
        <f t="shared" si="8"/>
        <v>1</v>
      </c>
      <c r="I60" s="3">
        <f t="shared" si="8"/>
        <v>0</v>
      </c>
      <c r="J60" s="3">
        <f t="shared" si="8"/>
        <v>10</v>
      </c>
      <c r="K60" s="3">
        <f t="shared" si="8"/>
        <v>7</v>
      </c>
      <c r="L60" s="3">
        <f t="shared" si="8"/>
        <v>4</v>
      </c>
      <c r="M60" s="3">
        <f t="shared" si="8"/>
        <v>0</v>
      </c>
      <c r="N60" s="20">
        <f>SUM(B60:M60)</f>
        <v>176</v>
      </c>
    </row>
    <row r="61" spans="1:14" ht="45" x14ac:dyDescent="0.25">
      <c r="A61" s="4" t="s">
        <v>111</v>
      </c>
      <c r="B61" s="3">
        <f t="shared" ref="B61:M61" si="9">(B15+B26+B37+B48)</f>
        <v>33</v>
      </c>
      <c r="C61" s="3">
        <f t="shared" si="9"/>
        <v>39</v>
      </c>
      <c r="D61" s="3">
        <f t="shared" si="9"/>
        <v>39</v>
      </c>
      <c r="E61" s="3">
        <f t="shared" si="9"/>
        <v>15</v>
      </c>
      <c r="F61" s="3">
        <f t="shared" si="9"/>
        <v>16</v>
      </c>
      <c r="G61" s="3">
        <f t="shared" si="9"/>
        <v>5</v>
      </c>
      <c r="H61" s="3">
        <f t="shared" si="9"/>
        <v>0</v>
      </c>
      <c r="I61" s="3">
        <f t="shared" si="9"/>
        <v>3</v>
      </c>
      <c r="J61" s="3">
        <f t="shared" si="9"/>
        <v>49</v>
      </c>
      <c r="K61" s="3">
        <f t="shared" si="9"/>
        <v>35</v>
      </c>
      <c r="L61" s="3">
        <f t="shared" si="9"/>
        <v>71</v>
      </c>
      <c r="M61" s="3">
        <f t="shared" si="9"/>
        <v>0</v>
      </c>
      <c r="N61" s="20">
        <f>SUM(B61:M61)</f>
        <v>305</v>
      </c>
    </row>
    <row r="62" spans="1:14" ht="45" x14ac:dyDescent="0.25">
      <c r="A62" s="4" t="s">
        <v>112</v>
      </c>
      <c r="B62" s="3">
        <f t="shared" ref="B62:M62" si="10">(B16+B27+B38+B49)</f>
        <v>6</v>
      </c>
      <c r="C62" s="3">
        <f t="shared" si="10"/>
        <v>94</v>
      </c>
      <c r="D62" s="3">
        <f t="shared" si="10"/>
        <v>91</v>
      </c>
      <c r="E62" s="3">
        <f t="shared" si="10"/>
        <v>27</v>
      </c>
      <c r="F62" s="3">
        <f t="shared" si="10"/>
        <v>18</v>
      </c>
      <c r="G62" s="3">
        <f t="shared" si="10"/>
        <v>0</v>
      </c>
      <c r="H62" s="3">
        <f t="shared" si="10"/>
        <v>2</v>
      </c>
      <c r="I62" s="3">
        <f t="shared" si="10"/>
        <v>8</v>
      </c>
      <c r="J62" s="3">
        <f t="shared" si="10"/>
        <v>22</v>
      </c>
      <c r="K62" s="3">
        <f t="shared" si="10"/>
        <v>15</v>
      </c>
      <c r="L62" s="3">
        <f t="shared" si="10"/>
        <v>37</v>
      </c>
      <c r="M62" s="3">
        <f t="shared" si="10"/>
        <v>0</v>
      </c>
      <c r="N62" s="20">
        <f>SUM(B62:M62)</f>
        <v>320</v>
      </c>
    </row>
    <row r="63" spans="1:14" x14ac:dyDescent="0.25">
      <c r="A63" s="10" t="s">
        <v>46</v>
      </c>
      <c r="B63" s="11">
        <f t="shared" ref="B63:M63" si="11">SUM(B60:B62)</f>
        <v>110</v>
      </c>
      <c r="C63" s="11">
        <f t="shared" si="11"/>
        <v>170</v>
      </c>
      <c r="D63" s="11">
        <f t="shared" si="11"/>
        <v>154</v>
      </c>
      <c r="E63" s="11">
        <f t="shared" si="11"/>
        <v>50</v>
      </c>
      <c r="F63" s="11">
        <f t="shared" si="11"/>
        <v>47</v>
      </c>
      <c r="G63" s="11">
        <f t="shared" si="11"/>
        <v>6</v>
      </c>
      <c r="H63" s="11">
        <f t="shared" si="11"/>
        <v>3</v>
      </c>
      <c r="I63" s="11">
        <f t="shared" si="11"/>
        <v>11</v>
      </c>
      <c r="J63" s="11">
        <f t="shared" si="11"/>
        <v>81</v>
      </c>
      <c r="K63" s="11">
        <f t="shared" si="11"/>
        <v>57</v>
      </c>
      <c r="L63" s="11">
        <f t="shared" si="11"/>
        <v>112</v>
      </c>
      <c r="M63" s="11">
        <f t="shared" si="11"/>
        <v>0</v>
      </c>
      <c r="N63" s="11">
        <f>SUM(B63:M63)</f>
        <v>801</v>
      </c>
    </row>
    <row r="64" spans="1:14" ht="30" x14ac:dyDescent="0.25">
      <c r="A64" s="16" t="s">
        <v>44</v>
      </c>
      <c r="B64" s="17">
        <v>0.5</v>
      </c>
      <c r="C64" s="17">
        <v>1</v>
      </c>
      <c r="D64" s="17">
        <v>1</v>
      </c>
      <c r="E64" s="17">
        <v>1.75</v>
      </c>
      <c r="F64" s="17">
        <v>1.75</v>
      </c>
      <c r="G64" s="17">
        <v>2</v>
      </c>
      <c r="H64" s="17">
        <v>2.5</v>
      </c>
      <c r="I64" s="17">
        <v>1.25</v>
      </c>
      <c r="J64" s="17">
        <v>1.5</v>
      </c>
      <c r="K64" s="17">
        <v>2.75</v>
      </c>
      <c r="L64" s="17">
        <v>3</v>
      </c>
      <c r="M64" s="17">
        <v>2</v>
      </c>
      <c r="N64" s="8"/>
    </row>
    <row r="65" spans="1:14" ht="45" x14ac:dyDescent="0.25">
      <c r="A65" s="9" t="s">
        <v>48</v>
      </c>
      <c r="B65" s="18">
        <f>B63*B64</f>
        <v>55</v>
      </c>
      <c r="C65" s="18">
        <f t="shared" ref="C65:M65" si="12">C63*C64</f>
        <v>170</v>
      </c>
      <c r="D65" s="18">
        <f t="shared" si="12"/>
        <v>154</v>
      </c>
      <c r="E65" s="18">
        <f t="shared" si="12"/>
        <v>87.5</v>
      </c>
      <c r="F65" s="18">
        <f t="shared" si="12"/>
        <v>82.25</v>
      </c>
      <c r="G65" s="18">
        <f t="shared" si="12"/>
        <v>12</v>
      </c>
      <c r="H65" s="18">
        <f t="shared" si="12"/>
        <v>7.5</v>
      </c>
      <c r="I65" s="18">
        <f t="shared" si="12"/>
        <v>13.75</v>
      </c>
      <c r="J65" s="18">
        <f t="shared" si="12"/>
        <v>121.5</v>
      </c>
      <c r="K65" s="18">
        <f t="shared" si="12"/>
        <v>156.75</v>
      </c>
      <c r="L65" s="18">
        <f t="shared" si="12"/>
        <v>336</v>
      </c>
      <c r="M65" s="18">
        <f t="shared" si="12"/>
        <v>0</v>
      </c>
      <c r="N65" s="19">
        <f>SUM(B65:M65)</f>
        <v>1196.25</v>
      </c>
    </row>
    <row r="67" spans="1:14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73" spans="1:14" ht="34.5" customHeight="1" x14ac:dyDescent="0.25"/>
    <row r="82" spans="1:13" x14ac:dyDescent="0.25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25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</sheetData>
  <mergeCells count="13">
    <mergeCell ref="A9:N9"/>
    <mergeCell ref="A1:N1"/>
    <mergeCell ref="A3:N3"/>
    <mergeCell ref="A5:N5"/>
    <mergeCell ref="A6:N6"/>
    <mergeCell ref="A7:N7"/>
    <mergeCell ref="A59:M59"/>
    <mergeCell ref="A10:N10"/>
    <mergeCell ref="A13:M13"/>
    <mergeCell ref="A24:M24"/>
    <mergeCell ref="A35:M35"/>
    <mergeCell ref="A46:M46"/>
    <mergeCell ref="A56:N56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4"/>
  <sheetViews>
    <sheetView view="pageBreakPreview" zoomScaleNormal="100" zoomScaleSheetLayoutView="100" workbookViewId="0">
      <selection activeCell="A4" sqref="A4"/>
    </sheetView>
  </sheetViews>
  <sheetFormatPr defaultRowHeight="15" x14ac:dyDescent="0.25"/>
  <cols>
    <col min="1" max="1" width="12.5703125" customWidth="1"/>
  </cols>
  <sheetData>
    <row r="1" spans="1:14" x14ac:dyDescent="0.25">
      <c r="A1" s="30" t="s">
        <v>104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8" t="str">
        <f>'7-8AM'!A3:N3</f>
        <v>ROAD: NAIROBI - MOMBASA (A8) ROAD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9" customHeight="1" x14ac:dyDescent="0.25"/>
    <row r="5" spans="1:14" x14ac:dyDescent="0.25">
      <c r="A5" s="39" t="str">
        <f>'7-8AM'!A5:N5</f>
        <v>SITE: ATHI RIVER AREA, MACHAKOS COUNTY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9" t="str">
        <f>'7-8AM'!A6:N6</f>
        <v>PROJECT: EXISTING COMMERCIAL DEVELOPMENT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x14ac:dyDescent="0.25">
      <c r="A7" s="39" t="str">
        <f>'7-8AM'!A7:N7</f>
        <v>C/O: CRYSTAL RIVERS MALL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7.5" customHeight="1" x14ac:dyDescent="0.25"/>
    <row r="9" spans="1:14" x14ac:dyDescent="0.25">
      <c r="A9" s="35" t="s">
        <v>17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34" t="s">
        <v>43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ht="9" customHeight="1" x14ac:dyDescent="0.25"/>
    <row r="12" spans="1:14" ht="71.25" customHeight="1" x14ac:dyDescent="0.25">
      <c r="A12" s="1" t="s">
        <v>0</v>
      </c>
      <c r="B12" s="2" t="s">
        <v>1</v>
      </c>
      <c r="C12" s="2" t="s">
        <v>2</v>
      </c>
      <c r="D12" s="2" t="s">
        <v>45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7" t="s">
        <v>47</v>
      </c>
    </row>
    <row r="13" spans="1:14" ht="20.25" customHeight="1" x14ac:dyDescent="0.25">
      <c r="A13" s="31" t="s">
        <v>26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8"/>
    </row>
    <row r="14" spans="1:14" ht="28.5" customHeight="1" x14ac:dyDescent="0.25">
      <c r="A14" s="4" t="s">
        <v>110</v>
      </c>
      <c r="B14" s="3">
        <v>23</v>
      </c>
      <c r="C14" s="3">
        <v>12</v>
      </c>
      <c r="D14" s="3">
        <v>7</v>
      </c>
      <c r="E14" s="3">
        <v>4</v>
      </c>
      <c r="F14" s="3">
        <v>3</v>
      </c>
      <c r="G14" s="3">
        <v>0</v>
      </c>
      <c r="H14" s="3">
        <v>0</v>
      </c>
      <c r="I14" s="3">
        <v>0</v>
      </c>
      <c r="J14" s="3">
        <v>5</v>
      </c>
      <c r="K14" s="3">
        <v>3</v>
      </c>
      <c r="L14" s="3">
        <v>0</v>
      </c>
      <c r="M14" s="3">
        <v>0</v>
      </c>
      <c r="N14" s="20">
        <f>SUM(B14:M14)</f>
        <v>57</v>
      </c>
    </row>
    <row r="15" spans="1:14" ht="31.5" customHeight="1" x14ac:dyDescent="0.25">
      <c r="A15" s="4" t="s">
        <v>111</v>
      </c>
      <c r="B15" s="3">
        <v>11</v>
      </c>
      <c r="C15" s="3">
        <v>17</v>
      </c>
      <c r="D15" s="3">
        <v>9</v>
      </c>
      <c r="E15" s="3">
        <v>2</v>
      </c>
      <c r="F15" s="3">
        <v>5</v>
      </c>
      <c r="G15" s="3">
        <v>1</v>
      </c>
      <c r="H15" s="3">
        <v>0</v>
      </c>
      <c r="I15" s="3">
        <v>1</v>
      </c>
      <c r="J15" s="3">
        <v>17</v>
      </c>
      <c r="K15" s="3">
        <v>8</v>
      </c>
      <c r="L15" s="3">
        <v>22</v>
      </c>
      <c r="M15" s="3">
        <v>0</v>
      </c>
      <c r="N15" s="20">
        <f>SUM(B15:M15)</f>
        <v>93</v>
      </c>
    </row>
    <row r="16" spans="1:14" ht="27" customHeight="1" x14ac:dyDescent="0.25">
      <c r="A16" s="4" t="s">
        <v>112</v>
      </c>
      <c r="B16" s="3">
        <v>0</v>
      </c>
      <c r="C16" s="3">
        <v>18</v>
      </c>
      <c r="D16" s="3">
        <v>17</v>
      </c>
      <c r="E16" s="3">
        <v>7</v>
      </c>
      <c r="F16" s="3">
        <v>4</v>
      </c>
      <c r="G16" s="3">
        <v>0</v>
      </c>
      <c r="H16" s="3">
        <v>0</v>
      </c>
      <c r="I16" s="3">
        <v>0</v>
      </c>
      <c r="J16" s="3">
        <v>6</v>
      </c>
      <c r="K16" s="3">
        <v>2</v>
      </c>
      <c r="L16" s="3">
        <v>8</v>
      </c>
      <c r="M16" s="3">
        <v>0</v>
      </c>
      <c r="N16" s="20">
        <f>SUM(B16:M16)</f>
        <v>62</v>
      </c>
    </row>
    <row r="17" spans="1:14" ht="47.25" customHeight="1" x14ac:dyDescent="0.25">
      <c r="A17" s="10" t="s">
        <v>46</v>
      </c>
      <c r="B17" s="11">
        <f t="shared" ref="B17:M17" si="0">SUM(B14:B16)</f>
        <v>34</v>
      </c>
      <c r="C17" s="11">
        <f t="shared" si="0"/>
        <v>47</v>
      </c>
      <c r="D17" s="11">
        <f t="shared" si="0"/>
        <v>33</v>
      </c>
      <c r="E17" s="11">
        <f t="shared" si="0"/>
        <v>13</v>
      </c>
      <c r="F17" s="11">
        <f t="shared" si="0"/>
        <v>12</v>
      </c>
      <c r="G17" s="11">
        <f t="shared" si="0"/>
        <v>1</v>
      </c>
      <c r="H17" s="11">
        <f t="shared" si="0"/>
        <v>0</v>
      </c>
      <c r="I17" s="11">
        <f t="shared" si="0"/>
        <v>1</v>
      </c>
      <c r="J17" s="11">
        <f t="shared" si="0"/>
        <v>28</v>
      </c>
      <c r="K17" s="11">
        <f t="shared" si="0"/>
        <v>13</v>
      </c>
      <c r="L17" s="11">
        <f t="shared" si="0"/>
        <v>30</v>
      </c>
      <c r="M17" s="11">
        <f t="shared" si="0"/>
        <v>0</v>
      </c>
      <c r="N17" s="11">
        <f>SUM(B17:M17)</f>
        <v>212</v>
      </c>
    </row>
    <row r="18" spans="1:14" ht="30" x14ac:dyDescent="0.25">
      <c r="A18" s="16" t="s">
        <v>44</v>
      </c>
      <c r="B18" s="17">
        <v>0.5</v>
      </c>
      <c r="C18" s="17">
        <v>1</v>
      </c>
      <c r="D18" s="17">
        <v>1</v>
      </c>
      <c r="E18" s="17">
        <v>1.75</v>
      </c>
      <c r="F18" s="17">
        <v>1.75</v>
      </c>
      <c r="G18" s="17">
        <v>2</v>
      </c>
      <c r="H18" s="17">
        <v>2.5</v>
      </c>
      <c r="I18" s="17">
        <v>1.25</v>
      </c>
      <c r="J18" s="17">
        <v>1.5</v>
      </c>
      <c r="K18" s="17">
        <v>2.75</v>
      </c>
      <c r="L18" s="17">
        <v>3</v>
      </c>
      <c r="M18" s="17">
        <v>2</v>
      </c>
      <c r="N18" s="8"/>
    </row>
    <row r="19" spans="1:14" ht="45" x14ac:dyDescent="0.25">
      <c r="A19" s="9" t="s">
        <v>48</v>
      </c>
      <c r="B19" s="18">
        <f>B17*B18</f>
        <v>17</v>
      </c>
      <c r="C19" s="18">
        <f t="shared" ref="C19:M19" si="1">C17*C18</f>
        <v>47</v>
      </c>
      <c r="D19" s="18">
        <f t="shared" si="1"/>
        <v>33</v>
      </c>
      <c r="E19" s="18">
        <f t="shared" si="1"/>
        <v>22.75</v>
      </c>
      <c r="F19" s="18">
        <f t="shared" si="1"/>
        <v>21</v>
      </c>
      <c r="G19" s="18">
        <f t="shared" si="1"/>
        <v>2</v>
      </c>
      <c r="H19" s="18">
        <f t="shared" si="1"/>
        <v>0</v>
      </c>
      <c r="I19" s="18">
        <f t="shared" si="1"/>
        <v>1.25</v>
      </c>
      <c r="J19" s="18">
        <f t="shared" si="1"/>
        <v>42</v>
      </c>
      <c r="K19" s="18">
        <f t="shared" si="1"/>
        <v>35.75</v>
      </c>
      <c r="L19" s="18">
        <f t="shared" si="1"/>
        <v>90</v>
      </c>
      <c r="M19" s="18">
        <f t="shared" si="1"/>
        <v>0</v>
      </c>
      <c r="N19" s="19">
        <f>SUM(B19:M19)</f>
        <v>311.75</v>
      </c>
    </row>
    <row r="20" spans="1:14" x14ac:dyDescent="0.25">
      <c r="A20" s="5"/>
    </row>
    <row r="21" spans="1:14" x14ac:dyDescent="0.25">
      <c r="A21" s="5"/>
    </row>
    <row r="22" spans="1:14" x14ac:dyDescent="0.25">
      <c r="A22" s="5"/>
    </row>
    <row r="23" spans="1:14" ht="75" x14ac:dyDescent="0.25">
      <c r="A23" s="1" t="s">
        <v>0</v>
      </c>
      <c r="B23" s="2" t="s">
        <v>1</v>
      </c>
      <c r="C23" s="2" t="s">
        <v>2</v>
      </c>
      <c r="D23" s="2" t="s">
        <v>45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  <c r="N23" s="7" t="s">
        <v>47</v>
      </c>
    </row>
    <row r="24" spans="1:14" x14ac:dyDescent="0.25">
      <c r="A24" s="31" t="s">
        <v>27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8"/>
    </row>
    <row r="25" spans="1:14" ht="27" customHeight="1" x14ac:dyDescent="0.25">
      <c r="A25" s="4" t="s">
        <v>110</v>
      </c>
      <c r="B25" s="3">
        <v>20</v>
      </c>
      <c r="C25" s="3">
        <v>14</v>
      </c>
      <c r="D25" s="3">
        <v>5</v>
      </c>
      <c r="E25" s="3">
        <v>6</v>
      </c>
      <c r="F25" s="3">
        <v>5</v>
      </c>
      <c r="G25" s="3">
        <v>1</v>
      </c>
      <c r="H25" s="3">
        <v>0</v>
      </c>
      <c r="I25" s="3">
        <v>0</v>
      </c>
      <c r="J25" s="3">
        <v>0</v>
      </c>
      <c r="K25" s="3">
        <v>1</v>
      </c>
      <c r="L25" s="3">
        <v>1</v>
      </c>
      <c r="M25" s="3">
        <v>0</v>
      </c>
      <c r="N25" s="20">
        <f>SUM(B25:M25)</f>
        <v>53</v>
      </c>
    </row>
    <row r="26" spans="1:14" ht="45" x14ac:dyDescent="0.25">
      <c r="A26" s="4" t="s">
        <v>111</v>
      </c>
      <c r="B26" s="3">
        <v>9</v>
      </c>
      <c r="C26" s="3">
        <v>14</v>
      </c>
      <c r="D26" s="3">
        <v>16</v>
      </c>
      <c r="E26" s="3">
        <v>5</v>
      </c>
      <c r="F26" s="3">
        <v>7</v>
      </c>
      <c r="G26" s="3">
        <v>0</v>
      </c>
      <c r="H26" s="3">
        <v>0</v>
      </c>
      <c r="I26" s="3">
        <v>0</v>
      </c>
      <c r="J26" s="3">
        <v>10</v>
      </c>
      <c r="K26" s="3">
        <v>9</v>
      </c>
      <c r="L26" s="3">
        <v>21</v>
      </c>
      <c r="M26" s="3">
        <v>0</v>
      </c>
      <c r="N26" s="20">
        <f>SUM(B26:M26)</f>
        <v>91</v>
      </c>
    </row>
    <row r="27" spans="1:14" ht="45" x14ac:dyDescent="0.25">
      <c r="A27" s="4" t="s">
        <v>112</v>
      </c>
      <c r="B27" s="3">
        <v>4</v>
      </c>
      <c r="C27" s="3">
        <v>26</v>
      </c>
      <c r="D27" s="3">
        <v>17</v>
      </c>
      <c r="E27" s="3">
        <v>6</v>
      </c>
      <c r="F27" s="3">
        <v>8</v>
      </c>
      <c r="G27" s="3">
        <v>1</v>
      </c>
      <c r="H27" s="3">
        <v>0</v>
      </c>
      <c r="I27" s="3">
        <v>1</v>
      </c>
      <c r="J27" s="3">
        <v>7</v>
      </c>
      <c r="K27" s="3">
        <v>1</v>
      </c>
      <c r="L27" s="3">
        <v>15</v>
      </c>
      <c r="M27" s="3">
        <v>0</v>
      </c>
      <c r="N27" s="20">
        <f>SUM(B27:M27)</f>
        <v>86</v>
      </c>
    </row>
    <row r="28" spans="1:14" x14ac:dyDescent="0.25">
      <c r="A28" s="10" t="s">
        <v>46</v>
      </c>
      <c r="B28" s="11">
        <f t="shared" ref="B28:M28" si="2">SUM(B25:B27)</f>
        <v>33</v>
      </c>
      <c r="C28" s="11">
        <f t="shared" si="2"/>
        <v>54</v>
      </c>
      <c r="D28" s="11">
        <f t="shared" si="2"/>
        <v>38</v>
      </c>
      <c r="E28" s="11">
        <f t="shared" si="2"/>
        <v>17</v>
      </c>
      <c r="F28" s="11">
        <f t="shared" si="2"/>
        <v>20</v>
      </c>
      <c r="G28" s="11">
        <f t="shared" si="2"/>
        <v>2</v>
      </c>
      <c r="H28" s="11">
        <f t="shared" si="2"/>
        <v>0</v>
      </c>
      <c r="I28" s="11">
        <f t="shared" si="2"/>
        <v>1</v>
      </c>
      <c r="J28" s="11">
        <f t="shared" si="2"/>
        <v>17</v>
      </c>
      <c r="K28" s="11">
        <f t="shared" si="2"/>
        <v>11</v>
      </c>
      <c r="L28" s="11">
        <f t="shared" si="2"/>
        <v>37</v>
      </c>
      <c r="M28" s="11">
        <f t="shared" si="2"/>
        <v>0</v>
      </c>
      <c r="N28" s="11">
        <f>SUM(B28:M28)</f>
        <v>230</v>
      </c>
    </row>
    <row r="29" spans="1:14" ht="30" x14ac:dyDescent="0.25">
      <c r="A29" s="16" t="s">
        <v>44</v>
      </c>
      <c r="B29" s="17">
        <v>0.5</v>
      </c>
      <c r="C29" s="17">
        <v>1</v>
      </c>
      <c r="D29" s="17">
        <v>1</v>
      </c>
      <c r="E29" s="17">
        <v>1.75</v>
      </c>
      <c r="F29" s="17">
        <v>1.75</v>
      </c>
      <c r="G29" s="17">
        <v>2</v>
      </c>
      <c r="H29" s="17">
        <v>2.5</v>
      </c>
      <c r="I29" s="17">
        <v>1.25</v>
      </c>
      <c r="J29" s="17">
        <v>1.5</v>
      </c>
      <c r="K29" s="17">
        <v>2.75</v>
      </c>
      <c r="L29" s="17">
        <v>3</v>
      </c>
      <c r="M29" s="17">
        <v>2</v>
      </c>
      <c r="N29" s="8"/>
    </row>
    <row r="30" spans="1:14" ht="45" x14ac:dyDescent="0.25">
      <c r="A30" s="9" t="s">
        <v>48</v>
      </c>
      <c r="B30" s="18">
        <f>B28*B29</f>
        <v>16.5</v>
      </c>
      <c r="C30" s="18">
        <f t="shared" ref="C30:M30" si="3">C28*C29</f>
        <v>54</v>
      </c>
      <c r="D30" s="18">
        <f t="shared" si="3"/>
        <v>38</v>
      </c>
      <c r="E30" s="18">
        <f t="shared" si="3"/>
        <v>29.75</v>
      </c>
      <c r="F30" s="18">
        <f t="shared" si="3"/>
        <v>35</v>
      </c>
      <c r="G30" s="18">
        <f t="shared" si="3"/>
        <v>4</v>
      </c>
      <c r="H30" s="18">
        <f t="shared" si="3"/>
        <v>0</v>
      </c>
      <c r="I30" s="18">
        <f t="shared" si="3"/>
        <v>1.25</v>
      </c>
      <c r="J30" s="18">
        <f t="shared" si="3"/>
        <v>25.5</v>
      </c>
      <c r="K30" s="18">
        <f t="shared" si="3"/>
        <v>30.25</v>
      </c>
      <c r="L30" s="18">
        <f t="shared" si="3"/>
        <v>111</v>
      </c>
      <c r="M30" s="18">
        <f t="shared" si="3"/>
        <v>0</v>
      </c>
      <c r="N30" s="19">
        <f>SUM(B30:M30)</f>
        <v>345.25</v>
      </c>
    </row>
    <row r="31" spans="1:14" x14ac:dyDescent="0.25">
      <c r="A31" s="12"/>
    </row>
    <row r="32" spans="1:14" ht="24.75" customHeight="1" x14ac:dyDescent="0.25">
      <c r="A32" s="12"/>
    </row>
    <row r="33" spans="1:14" x14ac:dyDescent="0.25">
      <c r="A33" s="12"/>
    </row>
    <row r="34" spans="1:14" ht="45" customHeight="1" x14ac:dyDescent="0.25">
      <c r="A34" s="1" t="s">
        <v>0</v>
      </c>
      <c r="B34" s="2" t="s">
        <v>1</v>
      </c>
      <c r="C34" s="2" t="s">
        <v>2</v>
      </c>
      <c r="D34" s="2" t="s">
        <v>45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7" t="s">
        <v>47</v>
      </c>
    </row>
    <row r="35" spans="1:14" ht="30.75" customHeight="1" x14ac:dyDescent="0.25">
      <c r="A35" s="31" t="s">
        <v>28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8"/>
    </row>
    <row r="36" spans="1:14" ht="45" x14ac:dyDescent="0.25">
      <c r="A36" s="4" t="s">
        <v>110</v>
      </c>
      <c r="B36" s="3">
        <v>12</v>
      </c>
      <c r="C36" s="3">
        <v>7</v>
      </c>
      <c r="D36" s="3">
        <v>1</v>
      </c>
      <c r="E36" s="3">
        <v>1</v>
      </c>
      <c r="F36" s="3">
        <v>0</v>
      </c>
      <c r="G36" s="3">
        <v>0</v>
      </c>
      <c r="H36" s="3">
        <v>0</v>
      </c>
      <c r="I36" s="3">
        <v>0</v>
      </c>
      <c r="J36" s="3">
        <v>1</v>
      </c>
      <c r="K36" s="3">
        <v>0</v>
      </c>
      <c r="L36" s="3">
        <v>2</v>
      </c>
      <c r="M36" s="3">
        <v>0</v>
      </c>
      <c r="N36" s="20">
        <f>SUM(B36:M36)</f>
        <v>24</v>
      </c>
    </row>
    <row r="37" spans="1:14" ht="45" x14ac:dyDescent="0.25">
      <c r="A37" s="4" t="s">
        <v>111</v>
      </c>
      <c r="B37" s="3">
        <v>5</v>
      </c>
      <c r="C37" s="3">
        <v>18</v>
      </c>
      <c r="D37" s="3">
        <v>8</v>
      </c>
      <c r="E37" s="3">
        <v>2</v>
      </c>
      <c r="F37" s="3">
        <v>1</v>
      </c>
      <c r="G37" s="3">
        <v>0</v>
      </c>
      <c r="H37" s="3">
        <v>0</v>
      </c>
      <c r="I37" s="3">
        <v>0</v>
      </c>
      <c r="J37" s="3">
        <v>14</v>
      </c>
      <c r="K37" s="3">
        <v>5</v>
      </c>
      <c r="L37" s="3">
        <v>15</v>
      </c>
      <c r="M37" s="3">
        <v>0</v>
      </c>
      <c r="N37" s="20">
        <f>SUM(B37:M37)</f>
        <v>68</v>
      </c>
    </row>
    <row r="38" spans="1:14" ht="45" x14ac:dyDescent="0.25">
      <c r="A38" s="4" t="s">
        <v>112</v>
      </c>
      <c r="B38" s="3">
        <v>0</v>
      </c>
      <c r="C38" s="3">
        <v>19</v>
      </c>
      <c r="D38" s="3">
        <v>9</v>
      </c>
      <c r="E38" s="3">
        <v>4</v>
      </c>
      <c r="F38" s="3">
        <v>1</v>
      </c>
      <c r="G38" s="3">
        <v>0</v>
      </c>
      <c r="H38" s="3">
        <v>0</v>
      </c>
      <c r="I38" s="3">
        <v>0</v>
      </c>
      <c r="J38" s="3">
        <v>6</v>
      </c>
      <c r="K38" s="3">
        <v>3</v>
      </c>
      <c r="L38" s="3">
        <v>3</v>
      </c>
      <c r="M38" s="3">
        <v>0</v>
      </c>
      <c r="N38" s="20">
        <f>SUM(B38:M38)</f>
        <v>45</v>
      </c>
    </row>
    <row r="39" spans="1:14" ht="53.25" customHeight="1" x14ac:dyDescent="0.25">
      <c r="A39" s="10" t="s">
        <v>46</v>
      </c>
      <c r="B39" s="11">
        <f t="shared" ref="B39:M39" si="4">SUM(B36:B38)</f>
        <v>17</v>
      </c>
      <c r="C39" s="11">
        <f t="shared" si="4"/>
        <v>44</v>
      </c>
      <c r="D39" s="11">
        <f t="shared" si="4"/>
        <v>18</v>
      </c>
      <c r="E39" s="11">
        <f t="shared" si="4"/>
        <v>7</v>
      </c>
      <c r="F39" s="11">
        <f t="shared" si="4"/>
        <v>2</v>
      </c>
      <c r="G39" s="11">
        <f t="shared" si="4"/>
        <v>0</v>
      </c>
      <c r="H39" s="11">
        <f t="shared" si="4"/>
        <v>0</v>
      </c>
      <c r="I39" s="11">
        <f t="shared" si="4"/>
        <v>0</v>
      </c>
      <c r="J39" s="11">
        <f t="shared" si="4"/>
        <v>21</v>
      </c>
      <c r="K39" s="11">
        <f t="shared" si="4"/>
        <v>8</v>
      </c>
      <c r="L39" s="11">
        <f t="shared" si="4"/>
        <v>20</v>
      </c>
      <c r="M39" s="11">
        <f t="shared" si="4"/>
        <v>0</v>
      </c>
      <c r="N39" s="11">
        <f>SUM(B39:M39)</f>
        <v>137</v>
      </c>
    </row>
    <row r="40" spans="1:14" ht="30" x14ac:dyDescent="0.25">
      <c r="A40" s="16" t="s">
        <v>44</v>
      </c>
      <c r="B40" s="17">
        <v>0.5</v>
      </c>
      <c r="C40" s="17">
        <v>1</v>
      </c>
      <c r="D40" s="17">
        <v>1</v>
      </c>
      <c r="E40" s="17">
        <v>1.75</v>
      </c>
      <c r="F40" s="17">
        <v>1.75</v>
      </c>
      <c r="G40" s="17">
        <v>2</v>
      </c>
      <c r="H40" s="17">
        <v>2.5</v>
      </c>
      <c r="I40" s="17">
        <v>1.25</v>
      </c>
      <c r="J40" s="17">
        <v>1.5</v>
      </c>
      <c r="K40" s="17">
        <v>2.75</v>
      </c>
      <c r="L40" s="17">
        <v>3</v>
      </c>
      <c r="M40" s="17">
        <v>2</v>
      </c>
      <c r="N40" s="8"/>
    </row>
    <row r="41" spans="1:14" ht="45" x14ac:dyDescent="0.25">
      <c r="A41" s="9" t="s">
        <v>48</v>
      </c>
      <c r="B41" s="18">
        <f>B39*B40</f>
        <v>8.5</v>
      </c>
      <c r="C41" s="18">
        <f t="shared" ref="C41:M41" si="5">C39*C40</f>
        <v>44</v>
      </c>
      <c r="D41" s="18">
        <f t="shared" si="5"/>
        <v>18</v>
      </c>
      <c r="E41" s="18">
        <f t="shared" si="5"/>
        <v>12.25</v>
      </c>
      <c r="F41" s="18">
        <f t="shared" si="5"/>
        <v>3.5</v>
      </c>
      <c r="G41" s="18">
        <f t="shared" si="5"/>
        <v>0</v>
      </c>
      <c r="H41" s="18">
        <f t="shared" si="5"/>
        <v>0</v>
      </c>
      <c r="I41" s="18">
        <f t="shared" si="5"/>
        <v>0</v>
      </c>
      <c r="J41" s="18">
        <f t="shared" si="5"/>
        <v>31.5</v>
      </c>
      <c r="K41" s="18">
        <f t="shared" si="5"/>
        <v>22</v>
      </c>
      <c r="L41" s="18">
        <f t="shared" si="5"/>
        <v>60</v>
      </c>
      <c r="M41" s="18">
        <f t="shared" si="5"/>
        <v>0</v>
      </c>
      <c r="N41" s="19">
        <f>SUM(B41:M41)</f>
        <v>199.75</v>
      </c>
    </row>
    <row r="42" spans="1:14" ht="32.25" customHeight="1" x14ac:dyDescent="0.25"/>
    <row r="43" spans="1:14" ht="27.75" customHeight="1" x14ac:dyDescent="0.25"/>
    <row r="45" spans="1:14" ht="62.25" customHeight="1" x14ac:dyDescent="0.25">
      <c r="A45" s="1" t="s">
        <v>0</v>
      </c>
      <c r="B45" s="2" t="s">
        <v>1</v>
      </c>
      <c r="C45" s="2" t="s">
        <v>2</v>
      </c>
      <c r="D45" s="2" t="s">
        <v>45</v>
      </c>
      <c r="E45" s="2" t="s">
        <v>3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8</v>
      </c>
      <c r="K45" s="2" t="s">
        <v>9</v>
      </c>
      <c r="L45" s="2" t="s">
        <v>10</v>
      </c>
      <c r="M45" s="2" t="s">
        <v>11</v>
      </c>
      <c r="N45" s="7" t="s">
        <v>47</v>
      </c>
    </row>
    <row r="46" spans="1:14" ht="21.75" customHeight="1" x14ac:dyDescent="0.25">
      <c r="A46" s="31" t="s">
        <v>75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8"/>
    </row>
    <row r="47" spans="1:14" ht="26.25" customHeight="1" x14ac:dyDescent="0.25">
      <c r="A47" s="4" t="s">
        <v>110</v>
      </c>
      <c r="B47" s="3">
        <v>26</v>
      </c>
      <c r="C47" s="3">
        <v>12</v>
      </c>
      <c r="D47" s="3">
        <v>8</v>
      </c>
      <c r="E47" s="3">
        <v>5</v>
      </c>
      <c r="F47" s="3">
        <v>2</v>
      </c>
      <c r="G47" s="3">
        <v>0</v>
      </c>
      <c r="H47" s="3">
        <v>0</v>
      </c>
      <c r="I47" s="3">
        <v>1</v>
      </c>
      <c r="J47" s="3">
        <v>4</v>
      </c>
      <c r="K47" s="3">
        <v>0</v>
      </c>
      <c r="L47" s="3">
        <v>1</v>
      </c>
      <c r="M47" s="3">
        <v>0</v>
      </c>
      <c r="N47" s="20">
        <f>SUM(B47:M47)</f>
        <v>59</v>
      </c>
    </row>
    <row r="48" spans="1:14" ht="45" x14ac:dyDescent="0.25">
      <c r="A48" s="4" t="s">
        <v>111</v>
      </c>
      <c r="B48" s="3">
        <v>6</v>
      </c>
      <c r="C48" s="3">
        <v>14</v>
      </c>
      <c r="D48" s="3">
        <v>11</v>
      </c>
      <c r="E48" s="3">
        <v>11</v>
      </c>
      <c r="F48" s="3">
        <v>2</v>
      </c>
      <c r="G48" s="3">
        <v>0</v>
      </c>
      <c r="H48" s="3">
        <v>0</v>
      </c>
      <c r="I48" s="3">
        <v>0</v>
      </c>
      <c r="J48" s="3">
        <v>16</v>
      </c>
      <c r="K48" s="3">
        <v>8</v>
      </c>
      <c r="L48" s="3">
        <v>31</v>
      </c>
      <c r="M48" s="3">
        <v>0</v>
      </c>
      <c r="N48" s="20">
        <f>SUM(B48:M48)</f>
        <v>99</v>
      </c>
    </row>
    <row r="49" spans="1:14" ht="28.5" customHeight="1" x14ac:dyDescent="0.25">
      <c r="A49" s="4" t="s">
        <v>112</v>
      </c>
      <c r="B49" s="3">
        <v>1</v>
      </c>
      <c r="C49" s="3">
        <v>23</v>
      </c>
      <c r="D49" s="3">
        <v>20</v>
      </c>
      <c r="E49" s="3">
        <v>3</v>
      </c>
      <c r="F49" s="3">
        <v>7</v>
      </c>
      <c r="G49" s="3">
        <v>0</v>
      </c>
      <c r="H49" s="3">
        <v>0</v>
      </c>
      <c r="I49" s="3">
        <v>1</v>
      </c>
      <c r="J49" s="3">
        <v>1</v>
      </c>
      <c r="K49" s="3">
        <v>1</v>
      </c>
      <c r="L49" s="3">
        <v>15</v>
      </c>
      <c r="M49" s="3">
        <v>0</v>
      </c>
      <c r="N49" s="20">
        <f>SUM(B49:M49)</f>
        <v>72</v>
      </c>
    </row>
    <row r="50" spans="1:14" x14ac:dyDescent="0.25">
      <c r="A50" s="10" t="s">
        <v>46</v>
      </c>
      <c r="B50" s="11">
        <f t="shared" ref="B50:M50" si="6">SUM(B47:B49)</f>
        <v>33</v>
      </c>
      <c r="C50" s="11">
        <f t="shared" si="6"/>
        <v>49</v>
      </c>
      <c r="D50" s="11">
        <f t="shared" si="6"/>
        <v>39</v>
      </c>
      <c r="E50" s="11">
        <f t="shared" si="6"/>
        <v>19</v>
      </c>
      <c r="F50" s="11">
        <f t="shared" si="6"/>
        <v>11</v>
      </c>
      <c r="G50" s="11">
        <f t="shared" si="6"/>
        <v>0</v>
      </c>
      <c r="H50" s="11">
        <f t="shared" si="6"/>
        <v>0</v>
      </c>
      <c r="I50" s="11">
        <f t="shared" si="6"/>
        <v>2</v>
      </c>
      <c r="J50" s="11">
        <f t="shared" si="6"/>
        <v>21</v>
      </c>
      <c r="K50" s="11">
        <f t="shared" si="6"/>
        <v>9</v>
      </c>
      <c r="L50" s="11">
        <f t="shared" si="6"/>
        <v>47</v>
      </c>
      <c r="M50" s="11">
        <f t="shared" si="6"/>
        <v>0</v>
      </c>
      <c r="N50" s="11">
        <f>SUM(B50:M50)</f>
        <v>230</v>
      </c>
    </row>
    <row r="51" spans="1:14" ht="30" x14ac:dyDescent="0.25">
      <c r="A51" s="16" t="s">
        <v>44</v>
      </c>
      <c r="B51" s="17">
        <v>0.5</v>
      </c>
      <c r="C51" s="17">
        <v>1</v>
      </c>
      <c r="D51" s="17">
        <v>1</v>
      </c>
      <c r="E51" s="17">
        <v>1.75</v>
      </c>
      <c r="F51" s="17">
        <v>1.75</v>
      </c>
      <c r="G51" s="17">
        <v>2</v>
      </c>
      <c r="H51" s="17">
        <v>2.5</v>
      </c>
      <c r="I51" s="17">
        <v>1.25</v>
      </c>
      <c r="J51" s="17">
        <v>1.5</v>
      </c>
      <c r="K51" s="17">
        <v>2.75</v>
      </c>
      <c r="L51" s="17">
        <v>3</v>
      </c>
      <c r="M51" s="17">
        <v>2</v>
      </c>
      <c r="N51" s="8"/>
    </row>
    <row r="52" spans="1:14" ht="45" x14ac:dyDescent="0.25">
      <c r="A52" s="9" t="s">
        <v>48</v>
      </c>
      <c r="B52" s="18">
        <f>B50*B51</f>
        <v>16.5</v>
      </c>
      <c r="C52" s="18">
        <f t="shared" ref="C52:M52" si="7">C50*C51</f>
        <v>49</v>
      </c>
      <c r="D52" s="18">
        <f t="shared" si="7"/>
        <v>39</v>
      </c>
      <c r="E52" s="18">
        <f t="shared" si="7"/>
        <v>33.25</v>
      </c>
      <c r="F52" s="18">
        <f t="shared" si="7"/>
        <v>19.25</v>
      </c>
      <c r="G52" s="18">
        <f t="shared" si="7"/>
        <v>0</v>
      </c>
      <c r="H52" s="18">
        <f t="shared" si="7"/>
        <v>0</v>
      </c>
      <c r="I52" s="18">
        <f t="shared" si="7"/>
        <v>2.5</v>
      </c>
      <c r="J52" s="18">
        <f t="shared" si="7"/>
        <v>31.5</v>
      </c>
      <c r="K52" s="18">
        <f t="shared" si="7"/>
        <v>24.75</v>
      </c>
      <c r="L52" s="18">
        <f t="shared" si="7"/>
        <v>141</v>
      </c>
      <c r="M52" s="18">
        <f t="shared" si="7"/>
        <v>0</v>
      </c>
      <c r="N52" s="19">
        <f>SUM(B52:M52)</f>
        <v>356.75</v>
      </c>
    </row>
    <row r="54" spans="1:14" ht="27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4" x14ac:dyDescent="0.25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4" x14ac:dyDescent="0.25">
      <c r="A56" s="37" t="s">
        <v>49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9" customHeight="1" x14ac:dyDescent="0.25"/>
    <row r="58" spans="1:14" ht="75" x14ac:dyDescent="0.25">
      <c r="A58" s="1"/>
      <c r="B58" s="2" t="s">
        <v>1</v>
      </c>
      <c r="C58" s="2" t="s">
        <v>2</v>
      </c>
      <c r="D58" s="2" t="s">
        <v>45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7" t="s">
        <v>47</v>
      </c>
    </row>
    <row r="59" spans="1:14" x14ac:dyDescent="0.25">
      <c r="A59" s="31" t="s">
        <v>91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3"/>
      <c r="N59" s="8"/>
    </row>
    <row r="60" spans="1:14" ht="45" x14ac:dyDescent="0.25">
      <c r="A60" s="4" t="s">
        <v>110</v>
      </c>
      <c r="B60" s="3">
        <f t="shared" ref="B60:M60" si="8">(B14+B25+B36+B47)</f>
        <v>81</v>
      </c>
      <c r="C60" s="3">
        <f t="shared" si="8"/>
        <v>45</v>
      </c>
      <c r="D60" s="3">
        <f t="shared" si="8"/>
        <v>21</v>
      </c>
      <c r="E60" s="3">
        <f t="shared" si="8"/>
        <v>16</v>
      </c>
      <c r="F60" s="3">
        <f t="shared" si="8"/>
        <v>10</v>
      </c>
      <c r="G60" s="3">
        <f t="shared" si="8"/>
        <v>1</v>
      </c>
      <c r="H60" s="3">
        <f t="shared" si="8"/>
        <v>0</v>
      </c>
      <c r="I60" s="3">
        <f t="shared" si="8"/>
        <v>1</v>
      </c>
      <c r="J60" s="3">
        <f t="shared" si="8"/>
        <v>10</v>
      </c>
      <c r="K60" s="3">
        <f t="shared" si="8"/>
        <v>4</v>
      </c>
      <c r="L60" s="3">
        <f t="shared" si="8"/>
        <v>4</v>
      </c>
      <c r="M60" s="3">
        <f t="shared" si="8"/>
        <v>0</v>
      </c>
      <c r="N60" s="20">
        <f>SUM(B60:M60)</f>
        <v>193</v>
      </c>
    </row>
    <row r="61" spans="1:14" ht="45" x14ac:dyDescent="0.25">
      <c r="A61" s="4" t="s">
        <v>111</v>
      </c>
      <c r="B61" s="3">
        <f t="shared" ref="B61:M61" si="9">(B15+B26+B37+B48)</f>
        <v>31</v>
      </c>
      <c r="C61" s="3">
        <f t="shared" si="9"/>
        <v>63</v>
      </c>
      <c r="D61" s="3">
        <f t="shared" si="9"/>
        <v>44</v>
      </c>
      <c r="E61" s="3">
        <f t="shared" si="9"/>
        <v>20</v>
      </c>
      <c r="F61" s="3">
        <f t="shared" si="9"/>
        <v>15</v>
      </c>
      <c r="G61" s="3">
        <f t="shared" si="9"/>
        <v>1</v>
      </c>
      <c r="H61" s="3">
        <f t="shared" si="9"/>
        <v>0</v>
      </c>
      <c r="I61" s="3">
        <f t="shared" si="9"/>
        <v>1</v>
      </c>
      <c r="J61" s="3">
        <f t="shared" si="9"/>
        <v>57</v>
      </c>
      <c r="K61" s="3">
        <f t="shared" si="9"/>
        <v>30</v>
      </c>
      <c r="L61" s="3">
        <f t="shared" si="9"/>
        <v>89</v>
      </c>
      <c r="M61" s="3">
        <f t="shared" si="9"/>
        <v>0</v>
      </c>
      <c r="N61" s="20">
        <f>SUM(B61:M61)</f>
        <v>351</v>
      </c>
    </row>
    <row r="62" spans="1:14" ht="45" x14ac:dyDescent="0.25">
      <c r="A62" s="4" t="s">
        <v>112</v>
      </c>
      <c r="B62" s="3">
        <f t="shared" ref="B62:M62" si="10">(B16+B27+B38+B49)</f>
        <v>5</v>
      </c>
      <c r="C62" s="3">
        <f t="shared" si="10"/>
        <v>86</v>
      </c>
      <c r="D62" s="3">
        <f t="shared" si="10"/>
        <v>63</v>
      </c>
      <c r="E62" s="3">
        <f t="shared" si="10"/>
        <v>20</v>
      </c>
      <c r="F62" s="3">
        <f t="shared" si="10"/>
        <v>20</v>
      </c>
      <c r="G62" s="3">
        <f t="shared" si="10"/>
        <v>1</v>
      </c>
      <c r="H62" s="3">
        <f t="shared" si="10"/>
        <v>0</v>
      </c>
      <c r="I62" s="3">
        <f t="shared" si="10"/>
        <v>2</v>
      </c>
      <c r="J62" s="3">
        <f t="shared" si="10"/>
        <v>20</v>
      </c>
      <c r="K62" s="3">
        <f t="shared" si="10"/>
        <v>7</v>
      </c>
      <c r="L62" s="3">
        <f t="shared" si="10"/>
        <v>41</v>
      </c>
      <c r="M62" s="3">
        <f t="shared" si="10"/>
        <v>0</v>
      </c>
      <c r="N62" s="20">
        <f>SUM(B62:M62)</f>
        <v>265</v>
      </c>
    </row>
    <row r="63" spans="1:14" x14ac:dyDescent="0.25">
      <c r="A63" s="10" t="s">
        <v>46</v>
      </c>
      <c r="B63" s="11">
        <f t="shared" ref="B63:M63" si="11">SUM(B60:B62)</f>
        <v>117</v>
      </c>
      <c r="C63" s="11">
        <f t="shared" si="11"/>
        <v>194</v>
      </c>
      <c r="D63" s="11">
        <f t="shared" si="11"/>
        <v>128</v>
      </c>
      <c r="E63" s="11">
        <f t="shared" si="11"/>
        <v>56</v>
      </c>
      <c r="F63" s="11">
        <f t="shared" si="11"/>
        <v>45</v>
      </c>
      <c r="G63" s="11">
        <f t="shared" si="11"/>
        <v>3</v>
      </c>
      <c r="H63" s="11">
        <f t="shared" si="11"/>
        <v>0</v>
      </c>
      <c r="I63" s="11">
        <f t="shared" si="11"/>
        <v>4</v>
      </c>
      <c r="J63" s="11">
        <f t="shared" si="11"/>
        <v>87</v>
      </c>
      <c r="K63" s="11">
        <f t="shared" si="11"/>
        <v>41</v>
      </c>
      <c r="L63" s="11">
        <f t="shared" si="11"/>
        <v>134</v>
      </c>
      <c r="M63" s="11">
        <f t="shared" si="11"/>
        <v>0</v>
      </c>
      <c r="N63" s="11">
        <f>SUM(B63:M63)</f>
        <v>809</v>
      </c>
    </row>
    <row r="64" spans="1:14" ht="30" x14ac:dyDescent="0.25">
      <c r="A64" s="16" t="s">
        <v>44</v>
      </c>
      <c r="B64" s="17">
        <v>0.5</v>
      </c>
      <c r="C64" s="17">
        <v>1</v>
      </c>
      <c r="D64" s="17">
        <v>1</v>
      </c>
      <c r="E64" s="17">
        <v>1.75</v>
      </c>
      <c r="F64" s="17">
        <v>1.75</v>
      </c>
      <c r="G64" s="17">
        <v>2</v>
      </c>
      <c r="H64" s="17">
        <v>2.5</v>
      </c>
      <c r="I64" s="17">
        <v>1.25</v>
      </c>
      <c r="J64" s="17">
        <v>1.5</v>
      </c>
      <c r="K64" s="17">
        <v>2.75</v>
      </c>
      <c r="L64" s="17">
        <v>3</v>
      </c>
      <c r="M64" s="17">
        <v>2</v>
      </c>
      <c r="N64" s="8"/>
    </row>
    <row r="65" spans="1:14" ht="45" x14ac:dyDescent="0.25">
      <c r="A65" s="9" t="s">
        <v>48</v>
      </c>
      <c r="B65" s="18">
        <f>B63*B64</f>
        <v>58.5</v>
      </c>
      <c r="C65" s="18">
        <f t="shared" ref="C65:M65" si="12">C63*C64</f>
        <v>194</v>
      </c>
      <c r="D65" s="18">
        <f t="shared" si="12"/>
        <v>128</v>
      </c>
      <c r="E65" s="18">
        <f t="shared" si="12"/>
        <v>98</v>
      </c>
      <c r="F65" s="18">
        <f t="shared" si="12"/>
        <v>78.75</v>
      </c>
      <c r="G65" s="18">
        <f t="shared" si="12"/>
        <v>6</v>
      </c>
      <c r="H65" s="18">
        <f t="shared" si="12"/>
        <v>0</v>
      </c>
      <c r="I65" s="18">
        <f t="shared" si="12"/>
        <v>5</v>
      </c>
      <c r="J65" s="18">
        <f t="shared" si="12"/>
        <v>130.5</v>
      </c>
      <c r="K65" s="18">
        <f t="shared" si="12"/>
        <v>112.75</v>
      </c>
      <c r="L65" s="18">
        <f t="shared" si="12"/>
        <v>402</v>
      </c>
      <c r="M65" s="18">
        <f t="shared" si="12"/>
        <v>0</v>
      </c>
      <c r="N65" s="19">
        <f>SUM(B65:M65)</f>
        <v>1213.5</v>
      </c>
    </row>
    <row r="67" spans="1:14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73" spans="1:14" ht="34.5" customHeight="1" x14ac:dyDescent="0.25"/>
    <row r="82" spans="1:13" x14ac:dyDescent="0.25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25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</sheetData>
  <mergeCells count="13">
    <mergeCell ref="A9:N9"/>
    <mergeCell ref="A1:N1"/>
    <mergeCell ref="A3:N3"/>
    <mergeCell ref="A5:N5"/>
    <mergeCell ref="A6:N6"/>
    <mergeCell ref="A7:N7"/>
    <mergeCell ref="A59:M59"/>
    <mergeCell ref="A10:N10"/>
    <mergeCell ref="A13:M13"/>
    <mergeCell ref="A24:M24"/>
    <mergeCell ref="A35:M35"/>
    <mergeCell ref="A46:M46"/>
    <mergeCell ref="A56:N56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4"/>
  <sheetViews>
    <sheetView view="pageBreakPreview" zoomScaleNormal="100" zoomScaleSheetLayoutView="100" workbookViewId="0">
      <selection activeCell="A4" sqref="A4"/>
    </sheetView>
  </sheetViews>
  <sheetFormatPr defaultRowHeight="15" x14ac:dyDescent="0.25"/>
  <cols>
    <col min="1" max="1" width="12.5703125" customWidth="1"/>
  </cols>
  <sheetData>
    <row r="1" spans="1:14" x14ac:dyDescent="0.25">
      <c r="A1" s="30" t="s">
        <v>105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8" t="str">
        <f>'7-8AM'!A3:N3</f>
        <v>ROAD: NAIROBI - MOMBASA (A8) ROAD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9" customHeight="1" x14ac:dyDescent="0.25"/>
    <row r="5" spans="1:14" x14ac:dyDescent="0.25">
      <c r="A5" s="39" t="str">
        <f>'7-8AM'!A5:N5</f>
        <v>SITE: ATHI RIVER AREA, MACHAKOS COUNTY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9" t="str">
        <f>'7-8AM'!A6:N6</f>
        <v>PROJECT: EXISTING COMMERCIAL DEVELOPMENT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x14ac:dyDescent="0.25">
      <c r="A7" s="39" t="str">
        <f>'7-8AM'!A7:N7</f>
        <v>C/O: CRYSTAL RIVERS MALL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7.5" customHeight="1" x14ac:dyDescent="0.25"/>
    <row r="9" spans="1:14" x14ac:dyDescent="0.25">
      <c r="A9" s="35" t="s">
        <v>17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34" t="s">
        <v>43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ht="9" customHeight="1" x14ac:dyDescent="0.25"/>
    <row r="12" spans="1:14" ht="71.25" customHeight="1" x14ac:dyDescent="0.25">
      <c r="A12" s="1" t="s">
        <v>0</v>
      </c>
      <c r="B12" s="2" t="s">
        <v>1</v>
      </c>
      <c r="C12" s="2" t="s">
        <v>2</v>
      </c>
      <c r="D12" s="2" t="s">
        <v>45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7" t="s">
        <v>47</v>
      </c>
    </row>
    <row r="13" spans="1:14" ht="20.25" customHeight="1" x14ac:dyDescent="0.25">
      <c r="A13" s="31" t="s">
        <v>29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8"/>
    </row>
    <row r="14" spans="1:14" ht="28.5" customHeight="1" x14ac:dyDescent="0.25">
      <c r="A14" s="4" t="s">
        <v>110</v>
      </c>
      <c r="B14" s="3">
        <v>15</v>
      </c>
      <c r="C14" s="3">
        <v>8</v>
      </c>
      <c r="D14" s="3">
        <v>4</v>
      </c>
      <c r="E14" s="3">
        <v>1</v>
      </c>
      <c r="F14" s="3">
        <v>4</v>
      </c>
      <c r="G14" s="3">
        <v>0</v>
      </c>
      <c r="H14" s="3">
        <v>0</v>
      </c>
      <c r="I14" s="3">
        <v>0</v>
      </c>
      <c r="J14" s="3">
        <v>3</v>
      </c>
      <c r="K14" s="3">
        <v>0</v>
      </c>
      <c r="L14" s="3">
        <v>1</v>
      </c>
      <c r="M14" s="3">
        <v>1</v>
      </c>
      <c r="N14" s="20">
        <f>SUM(B14:M14)</f>
        <v>37</v>
      </c>
    </row>
    <row r="15" spans="1:14" ht="31.5" customHeight="1" x14ac:dyDescent="0.25">
      <c r="A15" s="4" t="s">
        <v>111</v>
      </c>
      <c r="B15" s="3">
        <v>4</v>
      </c>
      <c r="C15" s="3">
        <v>15</v>
      </c>
      <c r="D15" s="3">
        <v>10</v>
      </c>
      <c r="E15" s="3">
        <v>4</v>
      </c>
      <c r="F15" s="3">
        <v>1</v>
      </c>
      <c r="G15" s="3">
        <v>1</v>
      </c>
      <c r="H15" s="3">
        <v>0</v>
      </c>
      <c r="I15" s="3">
        <v>0</v>
      </c>
      <c r="J15" s="3">
        <v>16</v>
      </c>
      <c r="K15" s="3">
        <v>8</v>
      </c>
      <c r="L15" s="3">
        <v>20</v>
      </c>
      <c r="M15" s="3">
        <v>0</v>
      </c>
      <c r="N15" s="20">
        <f>SUM(B15:M15)</f>
        <v>79</v>
      </c>
    </row>
    <row r="16" spans="1:14" ht="27" customHeight="1" x14ac:dyDescent="0.25">
      <c r="A16" s="4" t="s">
        <v>112</v>
      </c>
      <c r="B16" s="3">
        <v>1</v>
      </c>
      <c r="C16" s="3">
        <v>13</v>
      </c>
      <c r="D16" s="3">
        <v>9</v>
      </c>
      <c r="E16" s="3">
        <v>3</v>
      </c>
      <c r="F16" s="3">
        <v>3</v>
      </c>
      <c r="G16" s="3">
        <v>0</v>
      </c>
      <c r="H16" s="3">
        <v>0</v>
      </c>
      <c r="I16" s="3">
        <v>1</v>
      </c>
      <c r="J16" s="3">
        <v>7</v>
      </c>
      <c r="K16" s="3">
        <v>3</v>
      </c>
      <c r="L16" s="3">
        <v>13</v>
      </c>
      <c r="M16" s="3">
        <v>0</v>
      </c>
      <c r="N16" s="20">
        <f>SUM(B16:M16)</f>
        <v>53</v>
      </c>
    </row>
    <row r="17" spans="1:14" ht="47.25" customHeight="1" x14ac:dyDescent="0.25">
      <c r="A17" s="10" t="s">
        <v>46</v>
      </c>
      <c r="B17" s="11">
        <f t="shared" ref="B17:M17" si="0">SUM(B14:B16)</f>
        <v>20</v>
      </c>
      <c r="C17" s="11">
        <f t="shared" si="0"/>
        <v>36</v>
      </c>
      <c r="D17" s="11">
        <f t="shared" si="0"/>
        <v>23</v>
      </c>
      <c r="E17" s="11">
        <f t="shared" si="0"/>
        <v>8</v>
      </c>
      <c r="F17" s="11">
        <f t="shared" si="0"/>
        <v>8</v>
      </c>
      <c r="G17" s="11">
        <f t="shared" si="0"/>
        <v>1</v>
      </c>
      <c r="H17" s="11">
        <f t="shared" si="0"/>
        <v>0</v>
      </c>
      <c r="I17" s="11">
        <f t="shared" si="0"/>
        <v>1</v>
      </c>
      <c r="J17" s="11">
        <f t="shared" si="0"/>
        <v>26</v>
      </c>
      <c r="K17" s="11">
        <f t="shared" si="0"/>
        <v>11</v>
      </c>
      <c r="L17" s="11">
        <f t="shared" si="0"/>
        <v>34</v>
      </c>
      <c r="M17" s="11">
        <f t="shared" si="0"/>
        <v>1</v>
      </c>
      <c r="N17" s="11">
        <f>SUM(B17:M17)</f>
        <v>169</v>
      </c>
    </row>
    <row r="18" spans="1:14" ht="30" x14ac:dyDescent="0.25">
      <c r="A18" s="16" t="s">
        <v>44</v>
      </c>
      <c r="B18" s="17">
        <v>0.5</v>
      </c>
      <c r="C18" s="17">
        <v>1</v>
      </c>
      <c r="D18" s="17">
        <v>1</v>
      </c>
      <c r="E18" s="17">
        <v>1.75</v>
      </c>
      <c r="F18" s="17">
        <v>1.75</v>
      </c>
      <c r="G18" s="17">
        <v>2</v>
      </c>
      <c r="H18" s="17">
        <v>2.5</v>
      </c>
      <c r="I18" s="17">
        <v>1.25</v>
      </c>
      <c r="J18" s="17">
        <v>1.5</v>
      </c>
      <c r="K18" s="17">
        <v>2.75</v>
      </c>
      <c r="L18" s="17">
        <v>3</v>
      </c>
      <c r="M18" s="17">
        <v>2</v>
      </c>
      <c r="N18" s="8"/>
    </row>
    <row r="19" spans="1:14" ht="45" x14ac:dyDescent="0.25">
      <c r="A19" s="9" t="s">
        <v>48</v>
      </c>
      <c r="B19" s="18">
        <f>B17*B18</f>
        <v>10</v>
      </c>
      <c r="C19" s="18">
        <f t="shared" ref="C19:M19" si="1">C17*C18</f>
        <v>36</v>
      </c>
      <c r="D19" s="18">
        <f t="shared" si="1"/>
        <v>23</v>
      </c>
      <c r="E19" s="18">
        <f t="shared" si="1"/>
        <v>14</v>
      </c>
      <c r="F19" s="18">
        <f t="shared" si="1"/>
        <v>14</v>
      </c>
      <c r="G19" s="18">
        <f t="shared" si="1"/>
        <v>2</v>
      </c>
      <c r="H19" s="18">
        <f t="shared" si="1"/>
        <v>0</v>
      </c>
      <c r="I19" s="18">
        <f t="shared" si="1"/>
        <v>1.25</v>
      </c>
      <c r="J19" s="18">
        <f t="shared" si="1"/>
        <v>39</v>
      </c>
      <c r="K19" s="18">
        <f t="shared" si="1"/>
        <v>30.25</v>
      </c>
      <c r="L19" s="18">
        <f t="shared" si="1"/>
        <v>102</v>
      </c>
      <c r="M19" s="18">
        <f t="shared" si="1"/>
        <v>2</v>
      </c>
      <c r="N19" s="19">
        <f>SUM(B19:M19)</f>
        <v>273.5</v>
      </c>
    </row>
    <row r="20" spans="1:14" x14ac:dyDescent="0.25">
      <c r="A20" s="5"/>
    </row>
    <row r="21" spans="1:14" x14ac:dyDescent="0.25">
      <c r="A21" s="5"/>
    </row>
    <row r="22" spans="1:14" x14ac:dyDescent="0.25">
      <c r="A22" s="5"/>
    </row>
    <row r="23" spans="1:14" ht="75" x14ac:dyDescent="0.25">
      <c r="A23" s="1" t="s">
        <v>0</v>
      </c>
      <c r="B23" s="2" t="s">
        <v>1</v>
      </c>
      <c r="C23" s="2" t="s">
        <v>2</v>
      </c>
      <c r="D23" s="2" t="s">
        <v>45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  <c r="N23" s="7" t="s">
        <v>47</v>
      </c>
    </row>
    <row r="24" spans="1:14" x14ac:dyDescent="0.25">
      <c r="A24" s="31" t="s">
        <v>30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8"/>
    </row>
    <row r="25" spans="1:14" ht="27" customHeight="1" x14ac:dyDescent="0.25">
      <c r="A25" s="4" t="s">
        <v>110</v>
      </c>
      <c r="B25" s="3">
        <v>18</v>
      </c>
      <c r="C25" s="3">
        <v>10</v>
      </c>
      <c r="D25" s="3">
        <v>5</v>
      </c>
      <c r="E25" s="3">
        <v>1</v>
      </c>
      <c r="F25" s="3">
        <v>3</v>
      </c>
      <c r="G25" s="3">
        <v>0</v>
      </c>
      <c r="H25" s="3">
        <v>0</v>
      </c>
      <c r="I25" s="3">
        <v>0</v>
      </c>
      <c r="J25" s="3">
        <v>2</v>
      </c>
      <c r="K25" s="3">
        <v>0</v>
      </c>
      <c r="L25" s="3">
        <v>0</v>
      </c>
      <c r="M25" s="3">
        <v>0</v>
      </c>
      <c r="N25" s="20">
        <f>SUM(B25:M25)</f>
        <v>39</v>
      </c>
    </row>
    <row r="26" spans="1:14" ht="45" x14ac:dyDescent="0.25">
      <c r="A26" s="4" t="s">
        <v>111</v>
      </c>
      <c r="B26" s="3">
        <v>5</v>
      </c>
      <c r="C26" s="3">
        <v>8</v>
      </c>
      <c r="D26" s="3">
        <v>10</v>
      </c>
      <c r="E26" s="3">
        <v>3</v>
      </c>
      <c r="F26" s="3">
        <v>1</v>
      </c>
      <c r="G26" s="3">
        <v>0</v>
      </c>
      <c r="H26" s="3">
        <v>2</v>
      </c>
      <c r="I26" s="3">
        <v>0</v>
      </c>
      <c r="J26" s="3">
        <v>0</v>
      </c>
      <c r="K26" s="3">
        <v>6</v>
      </c>
      <c r="L26" s="3">
        <v>25</v>
      </c>
      <c r="M26" s="3">
        <v>0</v>
      </c>
      <c r="N26" s="20">
        <f>SUM(B26:M26)</f>
        <v>60</v>
      </c>
    </row>
    <row r="27" spans="1:14" ht="45" x14ac:dyDescent="0.25">
      <c r="A27" s="4" t="s">
        <v>112</v>
      </c>
      <c r="B27" s="3">
        <v>1</v>
      </c>
      <c r="C27" s="3">
        <v>17</v>
      </c>
      <c r="D27" s="3">
        <v>15</v>
      </c>
      <c r="E27" s="3">
        <v>7</v>
      </c>
      <c r="F27" s="3">
        <v>4</v>
      </c>
      <c r="G27" s="3">
        <v>0</v>
      </c>
      <c r="H27" s="3">
        <v>0</v>
      </c>
      <c r="I27" s="3">
        <v>0</v>
      </c>
      <c r="J27" s="3">
        <v>4</v>
      </c>
      <c r="K27" s="3">
        <v>1</v>
      </c>
      <c r="L27" s="3">
        <v>9</v>
      </c>
      <c r="M27" s="3">
        <v>0</v>
      </c>
      <c r="N27" s="20">
        <f>SUM(B27:M27)</f>
        <v>58</v>
      </c>
    </row>
    <row r="28" spans="1:14" x14ac:dyDescent="0.25">
      <c r="A28" s="10" t="s">
        <v>46</v>
      </c>
      <c r="B28" s="11">
        <f t="shared" ref="B28:M28" si="2">SUM(B25:B27)</f>
        <v>24</v>
      </c>
      <c r="C28" s="11">
        <f t="shared" si="2"/>
        <v>35</v>
      </c>
      <c r="D28" s="11">
        <f t="shared" si="2"/>
        <v>30</v>
      </c>
      <c r="E28" s="11">
        <f t="shared" si="2"/>
        <v>11</v>
      </c>
      <c r="F28" s="11">
        <f t="shared" si="2"/>
        <v>8</v>
      </c>
      <c r="G28" s="11">
        <f t="shared" si="2"/>
        <v>0</v>
      </c>
      <c r="H28" s="11">
        <f t="shared" si="2"/>
        <v>2</v>
      </c>
      <c r="I28" s="11">
        <f t="shared" si="2"/>
        <v>0</v>
      </c>
      <c r="J28" s="11">
        <f t="shared" si="2"/>
        <v>6</v>
      </c>
      <c r="K28" s="11">
        <f t="shared" si="2"/>
        <v>7</v>
      </c>
      <c r="L28" s="11">
        <f t="shared" si="2"/>
        <v>34</v>
      </c>
      <c r="M28" s="11">
        <f t="shared" si="2"/>
        <v>0</v>
      </c>
      <c r="N28" s="11">
        <f>SUM(B28:M28)</f>
        <v>157</v>
      </c>
    </row>
    <row r="29" spans="1:14" ht="30" x14ac:dyDescent="0.25">
      <c r="A29" s="16" t="s">
        <v>44</v>
      </c>
      <c r="B29" s="17">
        <v>0.5</v>
      </c>
      <c r="C29" s="17">
        <v>1</v>
      </c>
      <c r="D29" s="17">
        <v>1</v>
      </c>
      <c r="E29" s="17">
        <v>1.75</v>
      </c>
      <c r="F29" s="17">
        <v>1.75</v>
      </c>
      <c r="G29" s="17">
        <v>2</v>
      </c>
      <c r="H29" s="17">
        <v>2.5</v>
      </c>
      <c r="I29" s="17">
        <v>1.25</v>
      </c>
      <c r="J29" s="17">
        <v>1.5</v>
      </c>
      <c r="K29" s="17">
        <v>2.75</v>
      </c>
      <c r="L29" s="17">
        <v>3</v>
      </c>
      <c r="M29" s="17">
        <v>2</v>
      </c>
      <c r="N29" s="8"/>
    </row>
    <row r="30" spans="1:14" ht="45" x14ac:dyDescent="0.25">
      <c r="A30" s="9" t="s">
        <v>48</v>
      </c>
      <c r="B30" s="18">
        <f>B28*B29</f>
        <v>12</v>
      </c>
      <c r="C30" s="18">
        <f t="shared" ref="C30:M30" si="3">C28*C29</f>
        <v>35</v>
      </c>
      <c r="D30" s="18">
        <f t="shared" si="3"/>
        <v>30</v>
      </c>
      <c r="E30" s="18">
        <f t="shared" si="3"/>
        <v>19.25</v>
      </c>
      <c r="F30" s="18">
        <f t="shared" si="3"/>
        <v>14</v>
      </c>
      <c r="G30" s="18">
        <f t="shared" si="3"/>
        <v>0</v>
      </c>
      <c r="H30" s="18">
        <f t="shared" si="3"/>
        <v>5</v>
      </c>
      <c r="I30" s="18">
        <f t="shared" si="3"/>
        <v>0</v>
      </c>
      <c r="J30" s="18">
        <f t="shared" si="3"/>
        <v>9</v>
      </c>
      <c r="K30" s="18">
        <f t="shared" si="3"/>
        <v>19.25</v>
      </c>
      <c r="L30" s="18">
        <f t="shared" si="3"/>
        <v>102</v>
      </c>
      <c r="M30" s="18">
        <f t="shared" si="3"/>
        <v>0</v>
      </c>
      <c r="N30" s="19">
        <f>SUM(B30:M30)</f>
        <v>245.5</v>
      </c>
    </row>
    <row r="31" spans="1:14" x14ac:dyDescent="0.25">
      <c r="A31" s="12"/>
    </row>
    <row r="32" spans="1:14" ht="24.75" customHeight="1" x14ac:dyDescent="0.25">
      <c r="A32" s="12"/>
    </row>
    <row r="33" spans="1:14" x14ac:dyDescent="0.25">
      <c r="A33" s="12"/>
    </row>
    <row r="34" spans="1:14" ht="45" customHeight="1" x14ac:dyDescent="0.25">
      <c r="A34" s="1" t="s">
        <v>0</v>
      </c>
      <c r="B34" s="2" t="s">
        <v>1</v>
      </c>
      <c r="C34" s="2" t="s">
        <v>2</v>
      </c>
      <c r="D34" s="2" t="s">
        <v>45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7" t="s">
        <v>47</v>
      </c>
    </row>
    <row r="35" spans="1:14" ht="30.75" customHeight="1" x14ac:dyDescent="0.25">
      <c r="A35" s="31" t="s">
        <v>73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8"/>
    </row>
    <row r="36" spans="1:14" ht="45" x14ac:dyDescent="0.25">
      <c r="A36" s="4" t="s">
        <v>110</v>
      </c>
      <c r="B36" s="3">
        <v>18</v>
      </c>
      <c r="C36" s="3">
        <v>13</v>
      </c>
      <c r="D36" s="3">
        <v>7</v>
      </c>
      <c r="E36" s="3">
        <v>1</v>
      </c>
      <c r="F36" s="3">
        <v>6</v>
      </c>
      <c r="G36" s="3">
        <v>0</v>
      </c>
      <c r="H36" s="3">
        <v>0</v>
      </c>
      <c r="I36" s="3">
        <v>0</v>
      </c>
      <c r="J36" s="3">
        <v>3</v>
      </c>
      <c r="K36" s="3">
        <v>0</v>
      </c>
      <c r="L36" s="3">
        <v>3</v>
      </c>
      <c r="M36" s="3">
        <v>0</v>
      </c>
      <c r="N36" s="20">
        <f>SUM(B36:M36)</f>
        <v>51</v>
      </c>
    </row>
    <row r="37" spans="1:14" ht="45" x14ac:dyDescent="0.25">
      <c r="A37" s="4" t="s">
        <v>111</v>
      </c>
      <c r="B37" s="3">
        <v>8</v>
      </c>
      <c r="C37" s="3">
        <v>9</v>
      </c>
      <c r="D37" s="3">
        <v>5</v>
      </c>
      <c r="E37" s="3">
        <v>2</v>
      </c>
      <c r="F37" s="3">
        <v>7</v>
      </c>
      <c r="G37" s="3">
        <v>1</v>
      </c>
      <c r="H37" s="3">
        <v>0</v>
      </c>
      <c r="I37" s="3">
        <v>0</v>
      </c>
      <c r="J37" s="3">
        <v>14</v>
      </c>
      <c r="K37" s="3">
        <v>4</v>
      </c>
      <c r="L37" s="3">
        <v>16</v>
      </c>
      <c r="M37" s="3">
        <v>0</v>
      </c>
      <c r="N37" s="20">
        <v>66</v>
      </c>
    </row>
    <row r="38" spans="1:14" ht="45" x14ac:dyDescent="0.25">
      <c r="A38" s="4" t="s">
        <v>112</v>
      </c>
      <c r="B38" s="3">
        <v>2</v>
      </c>
      <c r="C38" s="3">
        <v>25</v>
      </c>
      <c r="D38" s="3">
        <v>14</v>
      </c>
      <c r="E38" s="3">
        <v>7</v>
      </c>
      <c r="F38" s="3">
        <v>3</v>
      </c>
      <c r="G38" s="3">
        <v>0</v>
      </c>
      <c r="H38" s="3">
        <v>0</v>
      </c>
      <c r="I38" s="3">
        <v>1</v>
      </c>
      <c r="J38" s="3">
        <v>21</v>
      </c>
      <c r="K38" s="3">
        <v>3</v>
      </c>
      <c r="L38" s="3">
        <v>14</v>
      </c>
      <c r="M38" s="3">
        <v>0</v>
      </c>
      <c r="N38" s="20">
        <f>SUM(B38:M38)</f>
        <v>90</v>
      </c>
    </row>
    <row r="39" spans="1:14" ht="53.25" customHeight="1" x14ac:dyDescent="0.25">
      <c r="A39" s="10" t="s">
        <v>46</v>
      </c>
      <c r="B39" s="11">
        <f t="shared" ref="B39:M39" si="4">SUM(B36:B38)</f>
        <v>28</v>
      </c>
      <c r="C39" s="11">
        <f t="shared" si="4"/>
        <v>47</v>
      </c>
      <c r="D39" s="11">
        <f t="shared" si="4"/>
        <v>26</v>
      </c>
      <c r="E39" s="11">
        <f t="shared" si="4"/>
        <v>10</v>
      </c>
      <c r="F39" s="11">
        <f t="shared" si="4"/>
        <v>16</v>
      </c>
      <c r="G39" s="11">
        <f t="shared" si="4"/>
        <v>1</v>
      </c>
      <c r="H39" s="11">
        <f t="shared" si="4"/>
        <v>0</v>
      </c>
      <c r="I39" s="11">
        <f t="shared" si="4"/>
        <v>1</v>
      </c>
      <c r="J39" s="11">
        <f t="shared" si="4"/>
        <v>38</v>
      </c>
      <c r="K39" s="11">
        <f t="shared" si="4"/>
        <v>7</v>
      </c>
      <c r="L39" s="11">
        <f t="shared" si="4"/>
        <v>33</v>
      </c>
      <c r="M39" s="11">
        <f t="shared" si="4"/>
        <v>0</v>
      </c>
      <c r="N39" s="11">
        <f>SUM(B39:M39)</f>
        <v>207</v>
      </c>
    </row>
    <row r="40" spans="1:14" ht="30" x14ac:dyDescent="0.25">
      <c r="A40" s="16" t="s">
        <v>44</v>
      </c>
      <c r="B40" s="17">
        <v>0.5</v>
      </c>
      <c r="C40" s="17">
        <v>1</v>
      </c>
      <c r="D40" s="17">
        <v>1</v>
      </c>
      <c r="E40" s="17">
        <v>1.75</v>
      </c>
      <c r="F40" s="17">
        <v>1.75</v>
      </c>
      <c r="G40" s="17">
        <v>2</v>
      </c>
      <c r="H40" s="17">
        <v>2.5</v>
      </c>
      <c r="I40" s="17">
        <v>1.25</v>
      </c>
      <c r="J40" s="17">
        <v>1.5</v>
      </c>
      <c r="K40" s="17">
        <v>2.75</v>
      </c>
      <c r="L40" s="17">
        <v>3</v>
      </c>
      <c r="M40" s="17">
        <v>2</v>
      </c>
      <c r="N40" s="8"/>
    </row>
    <row r="41" spans="1:14" ht="45" x14ac:dyDescent="0.25">
      <c r="A41" s="9" t="s">
        <v>48</v>
      </c>
      <c r="B41" s="18">
        <f>B39*B40</f>
        <v>14</v>
      </c>
      <c r="C41" s="18">
        <f t="shared" ref="C41:M41" si="5">C39*C40</f>
        <v>47</v>
      </c>
      <c r="D41" s="18">
        <f t="shared" si="5"/>
        <v>26</v>
      </c>
      <c r="E41" s="18">
        <f t="shared" si="5"/>
        <v>17.5</v>
      </c>
      <c r="F41" s="18">
        <f t="shared" si="5"/>
        <v>28</v>
      </c>
      <c r="G41" s="18">
        <f t="shared" si="5"/>
        <v>2</v>
      </c>
      <c r="H41" s="18">
        <f t="shared" si="5"/>
        <v>0</v>
      </c>
      <c r="I41" s="18">
        <f t="shared" si="5"/>
        <v>1.25</v>
      </c>
      <c r="J41" s="18">
        <f t="shared" si="5"/>
        <v>57</v>
      </c>
      <c r="K41" s="18">
        <f t="shared" si="5"/>
        <v>19.25</v>
      </c>
      <c r="L41" s="18">
        <f t="shared" si="5"/>
        <v>99</v>
      </c>
      <c r="M41" s="18">
        <f t="shared" si="5"/>
        <v>0</v>
      </c>
      <c r="N41" s="19">
        <f>SUM(B41:M41)</f>
        <v>311</v>
      </c>
    </row>
    <row r="42" spans="1:14" ht="32.25" customHeight="1" x14ac:dyDescent="0.25"/>
    <row r="43" spans="1:14" ht="27.75" customHeight="1" x14ac:dyDescent="0.25"/>
    <row r="45" spans="1:14" ht="62.25" customHeight="1" x14ac:dyDescent="0.25">
      <c r="A45" s="1" t="s">
        <v>0</v>
      </c>
      <c r="B45" s="2" t="s">
        <v>1</v>
      </c>
      <c r="C45" s="2" t="s">
        <v>2</v>
      </c>
      <c r="D45" s="2" t="s">
        <v>45</v>
      </c>
      <c r="E45" s="2" t="s">
        <v>3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8</v>
      </c>
      <c r="K45" s="2" t="s">
        <v>9</v>
      </c>
      <c r="L45" s="2" t="s">
        <v>10</v>
      </c>
      <c r="M45" s="2" t="s">
        <v>11</v>
      </c>
      <c r="N45" s="7" t="s">
        <v>47</v>
      </c>
    </row>
    <row r="46" spans="1:14" ht="21.75" customHeight="1" x14ac:dyDescent="0.25">
      <c r="A46" s="31" t="s">
        <v>31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8"/>
    </row>
    <row r="47" spans="1:14" ht="26.25" customHeight="1" x14ac:dyDescent="0.25">
      <c r="A47" s="4" t="s">
        <v>110</v>
      </c>
      <c r="B47" s="3">
        <v>18</v>
      </c>
      <c r="C47" s="3">
        <v>14</v>
      </c>
      <c r="D47" s="3">
        <v>3</v>
      </c>
      <c r="E47" s="3">
        <v>2</v>
      </c>
      <c r="F47" s="3">
        <v>1</v>
      </c>
      <c r="G47" s="3">
        <v>0</v>
      </c>
      <c r="H47" s="3">
        <v>0</v>
      </c>
      <c r="I47" s="3">
        <v>0</v>
      </c>
      <c r="J47" s="3">
        <v>3</v>
      </c>
      <c r="K47" s="3">
        <v>1</v>
      </c>
      <c r="L47" s="3">
        <v>0</v>
      </c>
      <c r="M47" s="3">
        <v>0</v>
      </c>
      <c r="N47" s="20">
        <f>SUM(B47:M47)</f>
        <v>42</v>
      </c>
    </row>
    <row r="48" spans="1:14" ht="45" x14ac:dyDescent="0.25">
      <c r="A48" s="4" t="s">
        <v>111</v>
      </c>
      <c r="B48" s="3">
        <v>8</v>
      </c>
      <c r="C48" s="3">
        <v>26</v>
      </c>
      <c r="D48" s="3">
        <v>11</v>
      </c>
      <c r="E48" s="3">
        <v>4</v>
      </c>
      <c r="F48" s="3">
        <v>4</v>
      </c>
      <c r="G48" s="3">
        <v>0</v>
      </c>
      <c r="H48" s="3">
        <v>2</v>
      </c>
      <c r="I48" s="3">
        <v>0</v>
      </c>
      <c r="J48" s="3">
        <v>14</v>
      </c>
      <c r="K48" s="3">
        <v>7</v>
      </c>
      <c r="L48" s="3">
        <v>29</v>
      </c>
      <c r="M48" s="3">
        <v>0</v>
      </c>
      <c r="N48" s="20">
        <f>SUM(B48:M48)</f>
        <v>105</v>
      </c>
    </row>
    <row r="49" spans="1:14" ht="28.5" customHeight="1" x14ac:dyDescent="0.25">
      <c r="A49" s="4" t="s">
        <v>112</v>
      </c>
      <c r="B49" s="3">
        <v>0</v>
      </c>
      <c r="C49" s="3">
        <v>22</v>
      </c>
      <c r="D49" s="3">
        <v>11</v>
      </c>
      <c r="E49" s="3">
        <v>4</v>
      </c>
      <c r="F49" s="3">
        <v>4</v>
      </c>
      <c r="G49" s="3">
        <v>0</v>
      </c>
      <c r="H49" s="3">
        <v>0</v>
      </c>
      <c r="I49" s="3">
        <v>0</v>
      </c>
      <c r="J49" s="3">
        <v>8</v>
      </c>
      <c r="K49" s="3">
        <v>3</v>
      </c>
      <c r="L49" s="3">
        <v>21</v>
      </c>
      <c r="M49" s="3">
        <v>0</v>
      </c>
      <c r="N49" s="20">
        <f>SUM(B49:M49)</f>
        <v>73</v>
      </c>
    </row>
    <row r="50" spans="1:14" x14ac:dyDescent="0.25">
      <c r="A50" s="10" t="s">
        <v>46</v>
      </c>
      <c r="B50" s="11">
        <f t="shared" ref="B50:M50" si="6">SUM(B47:B49)</f>
        <v>26</v>
      </c>
      <c r="C50" s="11">
        <f t="shared" si="6"/>
        <v>62</v>
      </c>
      <c r="D50" s="11">
        <f t="shared" si="6"/>
        <v>25</v>
      </c>
      <c r="E50" s="11">
        <f t="shared" si="6"/>
        <v>10</v>
      </c>
      <c r="F50" s="11">
        <f t="shared" si="6"/>
        <v>9</v>
      </c>
      <c r="G50" s="11">
        <f t="shared" si="6"/>
        <v>0</v>
      </c>
      <c r="H50" s="11">
        <f t="shared" si="6"/>
        <v>2</v>
      </c>
      <c r="I50" s="11">
        <f t="shared" si="6"/>
        <v>0</v>
      </c>
      <c r="J50" s="11">
        <f t="shared" si="6"/>
        <v>25</v>
      </c>
      <c r="K50" s="11">
        <f t="shared" si="6"/>
        <v>11</v>
      </c>
      <c r="L50" s="11">
        <f t="shared" si="6"/>
        <v>50</v>
      </c>
      <c r="M50" s="11">
        <f t="shared" si="6"/>
        <v>0</v>
      </c>
      <c r="N50" s="11">
        <f>SUM(B50:M50)</f>
        <v>220</v>
      </c>
    </row>
    <row r="51" spans="1:14" ht="30" x14ac:dyDescent="0.25">
      <c r="A51" s="16" t="s">
        <v>44</v>
      </c>
      <c r="B51" s="17">
        <v>0.5</v>
      </c>
      <c r="C51" s="17">
        <v>1</v>
      </c>
      <c r="D51" s="17">
        <v>1</v>
      </c>
      <c r="E51" s="17">
        <v>1.75</v>
      </c>
      <c r="F51" s="17">
        <v>1.75</v>
      </c>
      <c r="G51" s="17">
        <v>2</v>
      </c>
      <c r="H51" s="17">
        <v>2.5</v>
      </c>
      <c r="I51" s="17">
        <v>1.25</v>
      </c>
      <c r="J51" s="17">
        <v>1.5</v>
      </c>
      <c r="K51" s="17">
        <v>2.75</v>
      </c>
      <c r="L51" s="17">
        <v>3</v>
      </c>
      <c r="M51" s="17">
        <v>2</v>
      </c>
      <c r="N51" s="8"/>
    </row>
    <row r="52" spans="1:14" ht="45" x14ac:dyDescent="0.25">
      <c r="A52" s="9" t="s">
        <v>48</v>
      </c>
      <c r="B52" s="18">
        <f>B50*B51</f>
        <v>13</v>
      </c>
      <c r="C52" s="18">
        <f t="shared" ref="C52:M52" si="7">C50*C51</f>
        <v>62</v>
      </c>
      <c r="D52" s="18">
        <f t="shared" si="7"/>
        <v>25</v>
      </c>
      <c r="E52" s="18">
        <f t="shared" si="7"/>
        <v>17.5</v>
      </c>
      <c r="F52" s="18">
        <f t="shared" si="7"/>
        <v>15.75</v>
      </c>
      <c r="G52" s="18">
        <f t="shared" si="7"/>
        <v>0</v>
      </c>
      <c r="H52" s="18">
        <f t="shared" si="7"/>
        <v>5</v>
      </c>
      <c r="I52" s="18">
        <f t="shared" si="7"/>
        <v>0</v>
      </c>
      <c r="J52" s="18">
        <f t="shared" si="7"/>
        <v>37.5</v>
      </c>
      <c r="K52" s="18">
        <f t="shared" si="7"/>
        <v>30.25</v>
      </c>
      <c r="L52" s="18">
        <f t="shared" si="7"/>
        <v>150</v>
      </c>
      <c r="M52" s="18">
        <f t="shared" si="7"/>
        <v>0</v>
      </c>
      <c r="N52" s="19">
        <f>SUM(B52:M52)</f>
        <v>356</v>
      </c>
    </row>
    <row r="54" spans="1:14" ht="27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4" x14ac:dyDescent="0.25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4" x14ac:dyDescent="0.25">
      <c r="A56" s="37" t="s">
        <v>49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9" customHeight="1" x14ac:dyDescent="0.25"/>
    <row r="58" spans="1:14" ht="75" x14ac:dyDescent="0.25">
      <c r="A58" s="1"/>
      <c r="B58" s="2" t="s">
        <v>1</v>
      </c>
      <c r="C58" s="2" t="s">
        <v>2</v>
      </c>
      <c r="D58" s="2" t="s">
        <v>45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7" t="s">
        <v>47</v>
      </c>
    </row>
    <row r="59" spans="1:14" x14ac:dyDescent="0.25">
      <c r="A59" s="31" t="s">
        <v>92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3"/>
      <c r="N59" s="8"/>
    </row>
    <row r="60" spans="1:14" ht="45" x14ac:dyDescent="0.25">
      <c r="A60" s="4" t="s">
        <v>110</v>
      </c>
      <c r="B60" s="3">
        <f t="shared" ref="B60:M60" si="8">(B14+B25+B36+B47)</f>
        <v>69</v>
      </c>
      <c r="C60" s="3">
        <f t="shared" si="8"/>
        <v>45</v>
      </c>
      <c r="D60" s="3">
        <f t="shared" si="8"/>
        <v>19</v>
      </c>
      <c r="E60" s="3">
        <f t="shared" si="8"/>
        <v>5</v>
      </c>
      <c r="F60" s="3">
        <f t="shared" si="8"/>
        <v>14</v>
      </c>
      <c r="G60" s="3">
        <f t="shared" si="8"/>
        <v>0</v>
      </c>
      <c r="H60" s="3">
        <f t="shared" si="8"/>
        <v>0</v>
      </c>
      <c r="I60" s="3">
        <f t="shared" si="8"/>
        <v>0</v>
      </c>
      <c r="J60" s="3">
        <f t="shared" si="8"/>
        <v>11</v>
      </c>
      <c r="K60" s="3">
        <f t="shared" si="8"/>
        <v>1</v>
      </c>
      <c r="L60" s="3">
        <f t="shared" si="8"/>
        <v>4</v>
      </c>
      <c r="M60" s="3">
        <f t="shared" si="8"/>
        <v>1</v>
      </c>
      <c r="N60" s="20">
        <f>SUM(B60:M60)</f>
        <v>169</v>
      </c>
    </row>
    <row r="61" spans="1:14" ht="45" x14ac:dyDescent="0.25">
      <c r="A61" s="4" t="s">
        <v>111</v>
      </c>
      <c r="B61" s="3">
        <f t="shared" ref="B61:M61" si="9">(B15+B26+B37+B48)</f>
        <v>25</v>
      </c>
      <c r="C61" s="3">
        <f t="shared" si="9"/>
        <v>58</v>
      </c>
      <c r="D61" s="3">
        <f t="shared" si="9"/>
        <v>36</v>
      </c>
      <c r="E61" s="3">
        <f t="shared" si="9"/>
        <v>13</v>
      </c>
      <c r="F61" s="3">
        <f t="shared" si="9"/>
        <v>13</v>
      </c>
      <c r="G61" s="3">
        <f t="shared" si="9"/>
        <v>2</v>
      </c>
      <c r="H61" s="3">
        <f t="shared" si="9"/>
        <v>4</v>
      </c>
      <c r="I61" s="3">
        <f t="shared" si="9"/>
        <v>0</v>
      </c>
      <c r="J61" s="3">
        <f t="shared" si="9"/>
        <v>44</v>
      </c>
      <c r="K61" s="3">
        <f t="shared" si="9"/>
        <v>25</v>
      </c>
      <c r="L61" s="3">
        <f t="shared" si="9"/>
        <v>90</v>
      </c>
      <c r="M61" s="3">
        <f t="shared" si="9"/>
        <v>0</v>
      </c>
      <c r="N61" s="20">
        <f>SUM(B61:M61)</f>
        <v>310</v>
      </c>
    </row>
    <row r="62" spans="1:14" ht="45" x14ac:dyDescent="0.25">
      <c r="A62" s="4" t="s">
        <v>112</v>
      </c>
      <c r="B62" s="3">
        <f t="shared" ref="B62:M62" si="10">(B16+B27+B38+B49)</f>
        <v>4</v>
      </c>
      <c r="C62" s="3">
        <f t="shared" si="10"/>
        <v>77</v>
      </c>
      <c r="D62" s="3">
        <f t="shared" si="10"/>
        <v>49</v>
      </c>
      <c r="E62" s="3">
        <f t="shared" si="10"/>
        <v>21</v>
      </c>
      <c r="F62" s="3">
        <f t="shared" si="10"/>
        <v>14</v>
      </c>
      <c r="G62" s="3">
        <f t="shared" si="10"/>
        <v>0</v>
      </c>
      <c r="H62" s="3">
        <f t="shared" si="10"/>
        <v>0</v>
      </c>
      <c r="I62" s="3">
        <f t="shared" si="10"/>
        <v>2</v>
      </c>
      <c r="J62" s="3">
        <f t="shared" si="10"/>
        <v>40</v>
      </c>
      <c r="K62" s="3">
        <f t="shared" si="10"/>
        <v>10</v>
      </c>
      <c r="L62" s="3">
        <f t="shared" si="10"/>
        <v>57</v>
      </c>
      <c r="M62" s="3">
        <f t="shared" si="10"/>
        <v>0</v>
      </c>
      <c r="N62" s="20">
        <f>SUM(B62:M62)</f>
        <v>274</v>
      </c>
    </row>
    <row r="63" spans="1:14" x14ac:dyDescent="0.25">
      <c r="A63" s="10" t="s">
        <v>46</v>
      </c>
      <c r="B63" s="11">
        <f t="shared" ref="B63:M63" si="11">SUM(B60:B62)</f>
        <v>98</v>
      </c>
      <c r="C63" s="11">
        <f t="shared" si="11"/>
        <v>180</v>
      </c>
      <c r="D63" s="11">
        <f t="shared" si="11"/>
        <v>104</v>
      </c>
      <c r="E63" s="11">
        <f t="shared" si="11"/>
        <v>39</v>
      </c>
      <c r="F63" s="11">
        <f t="shared" si="11"/>
        <v>41</v>
      </c>
      <c r="G63" s="11">
        <f t="shared" si="11"/>
        <v>2</v>
      </c>
      <c r="H63" s="11">
        <f t="shared" si="11"/>
        <v>4</v>
      </c>
      <c r="I63" s="11">
        <f t="shared" si="11"/>
        <v>2</v>
      </c>
      <c r="J63" s="11">
        <f t="shared" si="11"/>
        <v>95</v>
      </c>
      <c r="K63" s="11">
        <f t="shared" si="11"/>
        <v>36</v>
      </c>
      <c r="L63" s="11">
        <f t="shared" si="11"/>
        <v>151</v>
      </c>
      <c r="M63" s="11">
        <f t="shared" si="11"/>
        <v>1</v>
      </c>
      <c r="N63" s="11">
        <f>SUM(B63:M63)</f>
        <v>753</v>
      </c>
    </row>
    <row r="64" spans="1:14" ht="30" x14ac:dyDescent="0.25">
      <c r="A64" s="16" t="s">
        <v>44</v>
      </c>
      <c r="B64" s="17">
        <v>0.5</v>
      </c>
      <c r="C64" s="17">
        <v>1</v>
      </c>
      <c r="D64" s="17">
        <v>1</v>
      </c>
      <c r="E64" s="17">
        <v>1.75</v>
      </c>
      <c r="F64" s="17">
        <v>1.75</v>
      </c>
      <c r="G64" s="17">
        <v>2</v>
      </c>
      <c r="H64" s="17">
        <v>2.5</v>
      </c>
      <c r="I64" s="17">
        <v>1.25</v>
      </c>
      <c r="J64" s="17">
        <v>1.5</v>
      </c>
      <c r="K64" s="17">
        <v>2.75</v>
      </c>
      <c r="L64" s="17">
        <v>3</v>
      </c>
      <c r="M64" s="17">
        <v>2</v>
      </c>
      <c r="N64" s="8"/>
    </row>
    <row r="65" spans="1:14" ht="45" x14ac:dyDescent="0.25">
      <c r="A65" s="9" t="s">
        <v>48</v>
      </c>
      <c r="B65" s="18">
        <f>B63*B64</f>
        <v>49</v>
      </c>
      <c r="C65" s="18">
        <f t="shared" ref="C65:M65" si="12">C63*C64</f>
        <v>180</v>
      </c>
      <c r="D65" s="18">
        <f t="shared" si="12"/>
        <v>104</v>
      </c>
      <c r="E65" s="18">
        <f t="shared" si="12"/>
        <v>68.25</v>
      </c>
      <c r="F65" s="18">
        <f t="shared" si="12"/>
        <v>71.75</v>
      </c>
      <c r="G65" s="18">
        <f t="shared" si="12"/>
        <v>4</v>
      </c>
      <c r="H65" s="18">
        <f t="shared" si="12"/>
        <v>10</v>
      </c>
      <c r="I65" s="18">
        <f t="shared" si="12"/>
        <v>2.5</v>
      </c>
      <c r="J65" s="18">
        <f t="shared" si="12"/>
        <v>142.5</v>
      </c>
      <c r="K65" s="18">
        <f t="shared" si="12"/>
        <v>99</v>
      </c>
      <c r="L65" s="18">
        <f t="shared" si="12"/>
        <v>453</v>
      </c>
      <c r="M65" s="18">
        <f t="shared" si="12"/>
        <v>2</v>
      </c>
      <c r="N65" s="19">
        <f>SUM(B65:M65)</f>
        <v>1186</v>
      </c>
    </row>
    <row r="67" spans="1:14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73" spans="1:14" ht="34.5" customHeight="1" x14ac:dyDescent="0.25"/>
    <row r="82" spans="1:13" x14ac:dyDescent="0.25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25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</sheetData>
  <mergeCells count="13">
    <mergeCell ref="A9:N9"/>
    <mergeCell ref="A1:N1"/>
    <mergeCell ref="A3:N3"/>
    <mergeCell ref="A5:N5"/>
    <mergeCell ref="A6:N6"/>
    <mergeCell ref="A7:N7"/>
    <mergeCell ref="A59:M59"/>
    <mergeCell ref="A10:N10"/>
    <mergeCell ref="A13:M13"/>
    <mergeCell ref="A24:M24"/>
    <mergeCell ref="A35:M35"/>
    <mergeCell ref="A46:M46"/>
    <mergeCell ref="A56:N56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4"/>
  <sheetViews>
    <sheetView view="pageBreakPreview" zoomScaleNormal="100" zoomScaleSheetLayoutView="100" workbookViewId="0">
      <selection activeCell="A4" sqref="A4"/>
    </sheetView>
  </sheetViews>
  <sheetFormatPr defaultRowHeight="15" x14ac:dyDescent="0.25"/>
  <cols>
    <col min="1" max="1" width="12.5703125" customWidth="1"/>
  </cols>
  <sheetData>
    <row r="1" spans="1:14" x14ac:dyDescent="0.25">
      <c r="A1" s="30" t="s">
        <v>106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8" t="str">
        <f>'7-8AM'!A3:N3</f>
        <v>ROAD: NAIROBI - MOMBASA (A8) ROAD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9" customHeight="1" x14ac:dyDescent="0.25"/>
    <row r="5" spans="1:14" x14ac:dyDescent="0.25">
      <c r="A5" s="39" t="str">
        <f>'7-8AM'!A5:N5</f>
        <v>SITE: ATHI RIVER AREA, MACHAKOS COUNTY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9" t="str">
        <f>'7-8AM'!A6:N6</f>
        <v>PROJECT: EXISTING COMMERCIAL DEVELOPMENT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x14ac:dyDescent="0.25">
      <c r="A7" s="39" t="str">
        <f>'7-8AM'!A7:N7</f>
        <v>C/O: CRYSTAL RIVERS MALL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7.5" customHeight="1" x14ac:dyDescent="0.25"/>
    <row r="9" spans="1:14" x14ac:dyDescent="0.25">
      <c r="A9" s="35" t="s">
        <v>17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34" t="s">
        <v>43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ht="9" customHeight="1" x14ac:dyDescent="0.25"/>
    <row r="12" spans="1:14" ht="71.25" customHeight="1" x14ac:dyDescent="0.25">
      <c r="A12" s="1" t="s">
        <v>0</v>
      </c>
      <c r="B12" s="2" t="s">
        <v>1</v>
      </c>
      <c r="C12" s="2" t="s">
        <v>2</v>
      </c>
      <c r="D12" s="2" t="s">
        <v>45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7" t="s">
        <v>47</v>
      </c>
    </row>
    <row r="13" spans="1:14" ht="20.25" customHeight="1" x14ac:dyDescent="0.25">
      <c r="A13" s="31" t="s">
        <v>32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8"/>
    </row>
    <row r="14" spans="1:14" ht="28.5" customHeight="1" x14ac:dyDescent="0.25">
      <c r="A14" s="4" t="s">
        <v>110</v>
      </c>
      <c r="B14" s="3">
        <v>15</v>
      </c>
      <c r="C14" s="3">
        <v>13</v>
      </c>
      <c r="D14" s="3">
        <v>8</v>
      </c>
      <c r="E14" s="3">
        <v>0</v>
      </c>
      <c r="F14" s="3">
        <v>2</v>
      </c>
      <c r="G14" s="3">
        <v>1</v>
      </c>
      <c r="H14" s="3">
        <v>0</v>
      </c>
      <c r="I14" s="3">
        <v>0</v>
      </c>
      <c r="J14" s="3">
        <v>0</v>
      </c>
      <c r="K14" s="3">
        <v>0</v>
      </c>
      <c r="L14" s="3">
        <v>1</v>
      </c>
      <c r="M14" s="3">
        <v>1</v>
      </c>
      <c r="N14" s="20">
        <f>SUM(B14:M14)</f>
        <v>41</v>
      </c>
    </row>
    <row r="15" spans="1:14" ht="31.5" customHeight="1" x14ac:dyDescent="0.25">
      <c r="A15" s="4" t="s">
        <v>111</v>
      </c>
      <c r="B15" s="3">
        <v>19</v>
      </c>
      <c r="C15" s="3">
        <v>32</v>
      </c>
      <c r="D15" s="3">
        <v>23</v>
      </c>
      <c r="E15" s="3">
        <v>6</v>
      </c>
      <c r="F15" s="3">
        <v>11</v>
      </c>
      <c r="G15" s="3">
        <v>5</v>
      </c>
      <c r="H15" s="3">
        <v>2</v>
      </c>
      <c r="I15" s="3">
        <v>2</v>
      </c>
      <c r="J15" s="3">
        <v>20</v>
      </c>
      <c r="K15" s="3">
        <v>12</v>
      </c>
      <c r="L15" s="3">
        <v>28</v>
      </c>
      <c r="M15" s="3">
        <v>0</v>
      </c>
      <c r="N15" s="20">
        <f>SUM(B15:M15)</f>
        <v>160</v>
      </c>
    </row>
    <row r="16" spans="1:14" ht="27" customHeight="1" x14ac:dyDescent="0.25">
      <c r="A16" s="4" t="s">
        <v>112</v>
      </c>
      <c r="B16" s="3">
        <v>1</v>
      </c>
      <c r="C16" s="3">
        <v>10</v>
      </c>
      <c r="D16" s="3">
        <v>15</v>
      </c>
      <c r="E16" s="3">
        <v>6</v>
      </c>
      <c r="F16" s="3">
        <v>4</v>
      </c>
      <c r="G16" s="3">
        <v>0</v>
      </c>
      <c r="H16" s="3">
        <v>0</v>
      </c>
      <c r="I16" s="3">
        <v>1</v>
      </c>
      <c r="J16" s="3">
        <v>12</v>
      </c>
      <c r="K16" s="3">
        <v>2</v>
      </c>
      <c r="L16" s="3">
        <v>13</v>
      </c>
      <c r="M16" s="3">
        <v>0</v>
      </c>
      <c r="N16" s="20">
        <f>SUM(B16:M16)</f>
        <v>64</v>
      </c>
    </row>
    <row r="17" spans="1:14" ht="47.25" customHeight="1" x14ac:dyDescent="0.25">
      <c r="A17" s="10" t="s">
        <v>46</v>
      </c>
      <c r="B17" s="11">
        <f t="shared" ref="B17:M17" si="0">SUM(B14:B16)</f>
        <v>35</v>
      </c>
      <c r="C17" s="11">
        <f t="shared" si="0"/>
        <v>55</v>
      </c>
      <c r="D17" s="11">
        <f t="shared" si="0"/>
        <v>46</v>
      </c>
      <c r="E17" s="11">
        <f t="shared" si="0"/>
        <v>12</v>
      </c>
      <c r="F17" s="11">
        <f t="shared" si="0"/>
        <v>17</v>
      </c>
      <c r="G17" s="11">
        <f t="shared" si="0"/>
        <v>6</v>
      </c>
      <c r="H17" s="11">
        <f t="shared" si="0"/>
        <v>2</v>
      </c>
      <c r="I17" s="11">
        <f t="shared" si="0"/>
        <v>3</v>
      </c>
      <c r="J17" s="11">
        <f t="shared" si="0"/>
        <v>32</v>
      </c>
      <c r="K17" s="11">
        <f t="shared" si="0"/>
        <v>14</v>
      </c>
      <c r="L17" s="11">
        <f t="shared" si="0"/>
        <v>42</v>
      </c>
      <c r="M17" s="11">
        <f t="shared" si="0"/>
        <v>1</v>
      </c>
      <c r="N17" s="11">
        <f>SUM(B17:M17)</f>
        <v>265</v>
      </c>
    </row>
    <row r="18" spans="1:14" ht="30" x14ac:dyDescent="0.25">
      <c r="A18" s="16" t="s">
        <v>44</v>
      </c>
      <c r="B18" s="17">
        <v>0.5</v>
      </c>
      <c r="C18" s="17">
        <v>1</v>
      </c>
      <c r="D18" s="17">
        <v>1</v>
      </c>
      <c r="E18" s="17">
        <v>1.75</v>
      </c>
      <c r="F18" s="17">
        <v>1.75</v>
      </c>
      <c r="G18" s="17">
        <v>2</v>
      </c>
      <c r="H18" s="17">
        <v>2.5</v>
      </c>
      <c r="I18" s="17">
        <v>1.25</v>
      </c>
      <c r="J18" s="17">
        <v>1.5</v>
      </c>
      <c r="K18" s="17">
        <v>2.75</v>
      </c>
      <c r="L18" s="17">
        <v>3</v>
      </c>
      <c r="M18" s="17">
        <v>2</v>
      </c>
      <c r="N18" s="8"/>
    </row>
    <row r="19" spans="1:14" ht="45" x14ac:dyDescent="0.25">
      <c r="A19" s="9" t="s">
        <v>48</v>
      </c>
      <c r="B19" s="18">
        <f>B17*B18</f>
        <v>17.5</v>
      </c>
      <c r="C19" s="18">
        <f t="shared" ref="C19:M19" si="1">C17*C18</f>
        <v>55</v>
      </c>
      <c r="D19" s="18">
        <f t="shared" si="1"/>
        <v>46</v>
      </c>
      <c r="E19" s="18">
        <f t="shared" si="1"/>
        <v>21</v>
      </c>
      <c r="F19" s="18">
        <f t="shared" si="1"/>
        <v>29.75</v>
      </c>
      <c r="G19" s="18">
        <f t="shared" si="1"/>
        <v>12</v>
      </c>
      <c r="H19" s="18">
        <f t="shared" si="1"/>
        <v>5</v>
      </c>
      <c r="I19" s="18">
        <f t="shared" si="1"/>
        <v>3.75</v>
      </c>
      <c r="J19" s="18">
        <f t="shared" si="1"/>
        <v>48</v>
      </c>
      <c r="K19" s="18">
        <f t="shared" si="1"/>
        <v>38.5</v>
      </c>
      <c r="L19" s="18">
        <f t="shared" si="1"/>
        <v>126</v>
      </c>
      <c r="M19" s="18">
        <f t="shared" si="1"/>
        <v>2</v>
      </c>
      <c r="N19" s="19">
        <f>SUM(B19:M19)</f>
        <v>404.5</v>
      </c>
    </row>
    <row r="20" spans="1:14" x14ac:dyDescent="0.25">
      <c r="A20" s="5"/>
    </row>
    <row r="21" spans="1:14" x14ac:dyDescent="0.25">
      <c r="A21" s="5"/>
    </row>
    <row r="22" spans="1:14" x14ac:dyDescent="0.25">
      <c r="A22" s="5"/>
    </row>
    <row r="23" spans="1:14" ht="75" x14ac:dyDescent="0.25">
      <c r="A23" s="1" t="s">
        <v>0</v>
      </c>
      <c r="B23" s="2" t="s">
        <v>1</v>
      </c>
      <c r="C23" s="2" t="s">
        <v>2</v>
      </c>
      <c r="D23" s="2" t="s">
        <v>45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  <c r="N23" s="7" t="s">
        <v>47</v>
      </c>
    </row>
    <row r="24" spans="1:14" x14ac:dyDescent="0.25">
      <c r="A24" s="31" t="s">
        <v>33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8"/>
    </row>
    <row r="25" spans="1:14" ht="27" customHeight="1" x14ac:dyDescent="0.25">
      <c r="A25" s="4" t="s">
        <v>110</v>
      </c>
      <c r="B25" s="3">
        <v>20</v>
      </c>
      <c r="C25" s="3">
        <v>21</v>
      </c>
      <c r="D25" s="3">
        <v>8</v>
      </c>
      <c r="E25" s="3">
        <v>3</v>
      </c>
      <c r="F25" s="3">
        <v>4</v>
      </c>
      <c r="G25" s="3">
        <v>0</v>
      </c>
      <c r="H25" s="3">
        <v>0</v>
      </c>
      <c r="I25" s="3">
        <v>0</v>
      </c>
      <c r="J25" s="3">
        <v>6</v>
      </c>
      <c r="K25" s="3">
        <v>1</v>
      </c>
      <c r="L25" s="3">
        <v>1</v>
      </c>
      <c r="M25" s="3">
        <v>0</v>
      </c>
      <c r="N25" s="20">
        <f>SUM(B25:M25)</f>
        <v>64</v>
      </c>
    </row>
    <row r="26" spans="1:14" ht="45" x14ac:dyDescent="0.25">
      <c r="A26" s="4" t="s">
        <v>111</v>
      </c>
      <c r="B26" s="3">
        <v>5</v>
      </c>
      <c r="C26" s="3">
        <v>6</v>
      </c>
      <c r="D26" s="3">
        <v>6</v>
      </c>
      <c r="E26" s="3">
        <v>3</v>
      </c>
      <c r="F26" s="3">
        <v>0</v>
      </c>
      <c r="G26" s="3">
        <v>1</v>
      </c>
      <c r="H26" s="3">
        <v>1</v>
      </c>
      <c r="I26" s="3">
        <v>1</v>
      </c>
      <c r="J26" s="3">
        <v>5</v>
      </c>
      <c r="K26" s="3">
        <v>3</v>
      </c>
      <c r="L26" s="3">
        <v>10</v>
      </c>
      <c r="M26" s="3">
        <v>0</v>
      </c>
      <c r="N26" s="20">
        <f>SUM(B26:M26)</f>
        <v>41</v>
      </c>
    </row>
    <row r="27" spans="1:14" ht="45" x14ac:dyDescent="0.25">
      <c r="A27" s="4" t="s">
        <v>112</v>
      </c>
      <c r="B27" s="3">
        <v>0</v>
      </c>
      <c r="C27" s="3">
        <v>12</v>
      </c>
      <c r="D27" s="3">
        <v>10</v>
      </c>
      <c r="E27" s="3">
        <v>6</v>
      </c>
      <c r="F27" s="3">
        <v>3</v>
      </c>
      <c r="G27" s="3">
        <v>0</v>
      </c>
      <c r="H27" s="3">
        <v>0</v>
      </c>
      <c r="I27" s="3">
        <v>0</v>
      </c>
      <c r="J27" s="3">
        <v>5</v>
      </c>
      <c r="K27" s="3">
        <v>1</v>
      </c>
      <c r="L27" s="3">
        <v>8</v>
      </c>
      <c r="M27" s="3">
        <v>0</v>
      </c>
      <c r="N27" s="20">
        <f>SUM(B27:M27)</f>
        <v>45</v>
      </c>
    </row>
    <row r="28" spans="1:14" x14ac:dyDescent="0.25">
      <c r="A28" s="10" t="s">
        <v>46</v>
      </c>
      <c r="B28" s="11">
        <f t="shared" ref="B28:M28" si="2">SUM(B25:B27)</f>
        <v>25</v>
      </c>
      <c r="C28" s="11">
        <f t="shared" si="2"/>
        <v>39</v>
      </c>
      <c r="D28" s="11">
        <f t="shared" si="2"/>
        <v>24</v>
      </c>
      <c r="E28" s="11">
        <f t="shared" si="2"/>
        <v>12</v>
      </c>
      <c r="F28" s="11">
        <f t="shared" si="2"/>
        <v>7</v>
      </c>
      <c r="G28" s="11">
        <f t="shared" si="2"/>
        <v>1</v>
      </c>
      <c r="H28" s="11">
        <f t="shared" si="2"/>
        <v>1</v>
      </c>
      <c r="I28" s="11">
        <f t="shared" si="2"/>
        <v>1</v>
      </c>
      <c r="J28" s="11">
        <f t="shared" si="2"/>
        <v>16</v>
      </c>
      <c r="K28" s="11">
        <f t="shared" si="2"/>
        <v>5</v>
      </c>
      <c r="L28" s="11">
        <f t="shared" si="2"/>
        <v>19</v>
      </c>
      <c r="M28" s="11">
        <f t="shared" si="2"/>
        <v>0</v>
      </c>
      <c r="N28" s="11">
        <f>SUM(B28:M28)</f>
        <v>150</v>
      </c>
    </row>
    <row r="29" spans="1:14" ht="30" x14ac:dyDescent="0.25">
      <c r="A29" s="16" t="s">
        <v>44</v>
      </c>
      <c r="B29" s="17">
        <v>0.5</v>
      </c>
      <c r="C29" s="17">
        <v>1</v>
      </c>
      <c r="D29" s="17">
        <v>1</v>
      </c>
      <c r="E29" s="17">
        <v>1.75</v>
      </c>
      <c r="F29" s="17">
        <v>1.75</v>
      </c>
      <c r="G29" s="17">
        <v>2</v>
      </c>
      <c r="H29" s="17">
        <v>2.5</v>
      </c>
      <c r="I29" s="17">
        <v>1.25</v>
      </c>
      <c r="J29" s="17">
        <v>1.5</v>
      </c>
      <c r="K29" s="17">
        <v>2.75</v>
      </c>
      <c r="L29" s="17">
        <v>3</v>
      </c>
      <c r="M29" s="17">
        <v>2</v>
      </c>
      <c r="N29" s="8"/>
    </row>
    <row r="30" spans="1:14" ht="45" x14ac:dyDescent="0.25">
      <c r="A30" s="9" t="s">
        <v>48</v>
      </c>
      <c r="B30" s="18">
        <f>B28*B29</f>
        <v>12.5</v>
      </c>
      <c r="C30" s="18">
        <f t="shared" ref="C30:M30" si="3">C28*C29</f>
        <v>39</v>
      </c>
      <c r="D30" s="18">
        <f t="shared" si="3"/>
        <v>24</v>
      </c>
      <c r="E30" s="18">
        <f t="shared" si="3"/>
        <v>21</v>
      </c>
      <c r="F30" s="18">
        <f t="shared" si="3"/>
        <v>12.25</v>
      </c>
      <c r="G30" s="18">
        <f t="shared" si="3"/>
        <v>2</v>
      </c>
      <c r="H30" s="18">
        <f t="shared" si="3"/>
        <v>2.5</v>
      </c>
      <c r="I30" s="18">
        <f t="shared" si="3"/>
        <v>1.25</v>
      </c>
      <c r="J30" s="18">
        <f t="shared" si="3"/>
        <v>24</v>
      </c>
      <c r="K30" s="18">
        <f t="shared" si="3"/>
        <v>13.75</v>
      </c>
      <c r="L30" s="18">
        <f t="shared" si="3"/>
        <v>57</v>
      </c>
      <c r="M30" s="18">
        <f t="shared" si="3"/>
        <v>0</v>
      </c>
      <c r="N30" s="19">
        <f>SUM(B30:M30)</f>
        <v>209.25</v>
      </c>
    </row>
    <row r="31" spans="1:14" x14ac:dyDescent="0.25">
      <c r="A31" s="12"/>
    </row>
    <row r="32" spans="1:14" ht="24.75" customHeight="1" x14ac:dyDescent="0.25">
      <c r="A32" s="12"/>
    </row>
    <row r="33" spans="1:14" x14ac:dyDescent="0.25">
      <c r="A33" s="12"/>
    </row>
    <row r="34" spans="1:14" ht="45" customHeight="1" x14ac:dyDescent="0.25">
      <c r="A34" s="1" t="s">
        <v>0</v>
      </c>
      <c r="B34" s="2" t="s">
        <v>1</v>
      </c>
      <c r="C34" s="2" t="s">
        <v>2</v>
      </c>
      <c r="D34" s="2" t="s">
        <v>45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7" t="s">
        <v>47</v>
      </c>
    </row>
    <row r="35" spans="1:14" ht="30.75" customHeight="1" x14ac:dyDescent="0.25">
      <c r="A35" s="31" t="s">
        <v>34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8"/>
    </row>
    <row r="36" spans="1:14" ht="45" x14ac:dyDescent="0.25">
      <c r="A36" s="4" t="s">
        <v>110</v>
      </c>
      <c r="B36" s="3">
        <v>13</v>
      </c>
      <c r="C36" s="3">
        <v>10</v>
      </c>
      <c r="D36" s="3">
        <v>8</v>
      </c>
      <c r="E36" s="3">
        <v>3</v>
      </c>
      <c r="F36" s="3">
        <v>3</v>
      </c>
      <c r="G36" s="3">
        <v>1</v>
      </c>
      <c r="H36" s="3">
        <v>0</v>
      </c>
      <c r="I36" s="3">
        <v>2</v>
      </c>
      <c r="J36" s="3">
        <v>1</v>
      </c>
      <c r="K36" s="3">
        <v>0</v>
      </c>
      <c r="L36" s="3">
        <v>1</v>
      </c>
      <c r="M36" s="3">
        <v>0</v>
      </c>
      <c r="N36" s="20">
        <f>SUM(B36:M36)</f>
        <v>42</v>
      </c>
    </row>
    <row r="37" spans="1:14" ht="45" x14ac:dyDescent="0.25">
      <c r="A37" s="4" t="s">
        <v>111</v>
      </c>
      <c r="B37" s="3">
        <v>6</v>
      </c>
      <c r="C37" s="3">
        <v>25</v>
      </c>
      <c r="D37" s="3">
        <v>22</v>
      </c>
      <c r="E37" s="3">
        <v>11</v>
      </c>
      <c r="F37" s="3">
        <v>5</v>
      </c>
      <c r="G37" s="3">
        <v>5</v>
      </c>
      <c r="H37" s="3">
        <v>0</v>
      </c>
      <c r="I37" s="3">
        <v>2</v>
      </c>
      <c r="J37" s="3">
        <v>9</v>
      </c>
      <c r="K37" s="3">
        <v>18</v>
      </c>
      <c r="L37" s="3">
        <v>36</v>
      </c>
      <c r="M37" s="3">
        <v>0</v>
      </c>
      <c r="N37" s="20">
        <f>SUM(B37:M37)</f>
        <v>139</v>
      </c>
    </row>
    <row r="38" spans="1:14" ht="45" x14ac:dyDescent="0.25">
      <c r="A38" s="4" t="s">
        <v>112</v>
      </c>
      <c r="B38" s="3">
        <v>2</v>
      </c>
      <c r="C38" s="3">
        <v>24</v>
      </c>
      <c r="D38" s="3">
        <v>20</v>
      </c>
      <c r="E38" s="3">
        <v>7</v>
      </c>
      <c r="F38" s="3">
        <v>6</v>
      </c>
      <c r="G38" s="3">
        <v>0</v>
      </c>
      <c r="H38" s="3">
        <v>0</v>
      </c>
      <c r="I38" s="3">
        <v>1</v>
      </c>
      <c r="J38" s="3">
        <v>10</v>
      </c>
      <c r="K38" s="3">
        <v>4</v>
      </c>
      <c r="L38" s="3">
        <v>12</v>
      </c>
      <c r="M38" s="3">
        <v>0</v>
      </c>
      <c r="N38" s="20">
        <f>SUM(B38:M38)</f>
        <v>86</v>
      </c>
    </row>
    <row r="39" spans="1:14" ht="53.25" customHeight="1" x14ac:dyDescent="0.25">
      <c r="A39" s="10" t="s">
        <v>46</v>
      </c>
      <c r="B39" s="11">
        <f t="shared" ref="B39:M39" si="4">SUM(B36:B38)</f>
        <v>21</v>
      </c>
      <c r="C39" s="11">
        <f t="shared" si="4"/>
        <v>59</v>
      </c>
      <c r="D39" s="11">
        <f t="shared" si="4"/>
        <v>50</v>
      </c>
      <c r="E39" s="11">
        <f t="shared" si="4"/>
        <v>21</v>
      </c>
      <c r="F39" s="11">
        <f t="shared" si="4"/>
        <v>14</v>
      </c>
      <c r="G39" s="11">
        <f t="shared" si="4"/>
        <v>6</v>
      </c>
      <c r="H39" s="11">
        <f t="shared" si="4"/>
        <v>0</v>
      </c>
      <c r="I39" s="11">
        <f t="shared" si="4"/>
        <v>5</v>
      </c>
      <c r="J39" s="11">
        <f t="shared" si="4"/>
        <v>20</v>
      </c>
      <c r="K39" s="11">
        <f t="shared" si="4"/>
        <v>22</v>
      </c>
      <c r="L39" s="11">
        <f t="shared" si="4"/>
        <v>49</v>
      </c>
      <c r="M39" s="11">
        <f t="shared" si="4"/>
        <v>0</v>
      </c>
      <c r="N39" s="11">
        <f>SUM(B39:M39)</f>
        <v>267</v>
      </c>
    </row>
    <row r="40" spans="1:14" ht="30" x14ac:dyDescent="0.25">
      <c r="A40" s="16" t="s">
        <v>44</v>
      </c>
      <c r="B40" s="17">
        <v>0.5</v>
      </c>
      <c r="C40" s="17">
        <v>1</v>
      </c>
      <c r="D40" s="17">
        <v>1</v>
      </c>
      <c r="E40" s="17">
        <v>1.75</v>
      </c>
      <c r="F40" s="17">
        <v>1.75</v>
      </c>
      <c r="G40" s="17">
        <v>2</v>
      </c>
      <c r="H40" s="17">
        <v>2.5</v>
      </c>
      <c r="I40" s="17">
        <v>1.25</v>
      </c>
      <c r="J40" s="17">
        <v>1.5</v>
      </c>
      <c r="K40" s="17">
        <v>2.75</v>
      </c>
      <c r="L40" s="17">
        <v>3</v>
      </c>
      <c r="M40" s="17">
        <v>2</v>
      </c>
      <c r="N40" s="8"/>
    </row>
    <row r="41" spans="1:14" ht="45" x14ac:dyDescent="0.25">
      <c r="A41" s="9" t="s">
        <v>48</v>
      </c>
      <c r="B41" s="18">
        <f>B39*B40</f>
        <v>10.5</v>
      </c>
      <c r="C41" s="18">
        <f t="shared" ref="C41:M41" si="5">C39*C40</f>
        <v>59</v>
      </c>
      <c r="D41" s="18">
        <f t="shared" si="5"/>
        <v>50</v>
      </c>
      <c r="E41" s="18">
        <f t="shared" si="5"/>
        <v>36.75</v>
      </c>
      <c r="F41" s="18">
        <f t="shared" si="5"/>
        <v>24.5</v>
      </c>
      <c r="G41" s="18">
        <f t="shared" si="5"/>
        <v>12</v>
      </c>
      <c r="H41" s="18">
        <f t="shared" si="5"/>
        <v>0</v>
      </c>
      <c r="I41" s="18">
        <f t="shared" si="5"/>
        <v>6.25</v>
      </c>
      <c r="J41" s="18">
        <f t="shared" si="5"/>
        <v>30</v>
      </c>
      <c r="K41" s="18">
        <f t="shared" si="5"/>
        <v>60.5</v>
      </c>
      <c r="L41" s="18">
        <f t="shared" si="5"/>
        <v>147</v>
      </c>
      <c r="M41" s="18">
        <f t="shared" si="5"/>
        <v>0</v>
      </c>
      <c r="N41" s="19">
        <f>SUM(B41:M41)</f>
        <v>436.5</v>
      </c>
    </row>
    <row r="42" spans="1:14" ht="32.25" customHeight="1" x14ac:dyDescent="0.25"/>
    <row r="43" spans="1:14" ht="27.75" customHeight="1" x14ac:dyDescent="0.25"/>
    <row r="45" spans="1:14" ht="62.25" customHeight="1" x14ac:dyDescent="0.25">
      <c r="A45" s="1" t="s">
        <v>0</v>
      </c>
      <c r="B45" s="2" t="s">
        <v>1</v>
      </c>
      <c r="C45" s="2" t="s">
        <v>2</v>
      </c>
      <c r="D45" s="2" t="s">
        <v>45</v>
      </c>
      <c r="E45" s="2" t="s">
        <v>3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8</v>
      </c>
      <c r="K45" s="2" t="s">
        <v>9</v>
      </c>
      <c r="L45" s="2" t="s">
        <v>10</v>
      </c>
      <c r="M45" s="2" t="s">
        <v>11</v>
      </c>
      <c r="N45" s="7" t="s">
        <v>47</v>
      </c>
    </row>
    <row r="46" spans="1:14" ht="21.75" customHeight="1" x14ac:dyDescent="0.25">
      <c r="A46" s="31" t="s">
        <v>35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8"/>
    </row>
    <row r="47" spans="1:14" ht="26.25" customHeight="1" x14ac:dyDescent="0.25">
      <c r="A47" s="4" t="s">
        <v>110</v>
      </c>
      <c r="B47" s="3">
        <v>18</v>
      </c>
      <c r="C47" s="3">
        <v>8</v>
      </c>
      <c r="D47" s="3">
        <v>12</v>
      </c>
      <c r="E47" s="3">
        <v>2</v>
      </c>
      <c r="F47" s="3">
        <v>3</v>
      </c>
      <c r="G47" s="3">
        <v>0</v>
      </c>
      <c r="H47" s="3">
        <v>0</v>
      </c>
      <c r="I47" s="3">
        <v>0</v>
      </c>
      <c r="J47" s="3">
        <v>1</v>
      </c>
      <c r="K47" s="3">
        <v>1</v>
      </c>
      <c r="L47" s="3">
        <v>0</v>
      </c>
      <c r="M47" s="3">
        <v>0</v>
      </c>
      <c r="N47" s="20">
        <f>SUM(B47:M47)</f>
        <v>45</v>
      </c>
    </row>
    <row r="48" spans="1:14" ht="45" x14ac:dyDescent="0.25">
      <c r="A48" s="4" t="s">
        <v>111</v>
      </c>
      <c r="B48" s="3">
        <v>8</v>
      </c>
      <c r="C48" s="3">
        <v>18</v>
      </c>
      <c r="D48" s="3">
        <v>5</v>
      </c>
      <c r="E48" s="3">
        <v>3</v>
      </c>
      <c r="F48" s="3">
        <v>4</v>
      </c>
      <c r="G48" s="3">
        <v>1</v>
      </c>
      <c r="H48" s="3">
        <v>0</v>
      </c>
      <c r="I48" s="3">
        <v>0</v>
      </c>
      <c r="J48" s="3">
        <v>24</v>
      </c>
      <c r="K48" s="3">
        <v>9</v>
      </c>
      <c r="L48" s="3">
        <v>22</v>
      </c>
      <c r="M48" s="3">
        <v>0</v>
      </c>
      <c r="N48" s="20">
        <f>SUM(B48:M48)</f>
        <v>94</v>
      </c>
    </row>
    <row r="49" spans="1:14" ht="28.5" customHeight="1" x14ac:dyDescent="0.25">
      <c r="A49" s="4" t="s">
        <v>112</v>
      </c>
      <c r="B49" s="3">
        <v>3</v>
      </c>
      <c r="C49" s="3">
        <v>29</v>
      </c>
      <c r="D49" s="3">
        <v>19</v>
      </c>
      <c r="E49" s="3">
        <v>10</v>
      </c>
      <c r="F49" s="3">
        <v>6</v>
      </c>
      <c r="G49" s="3">
        <v>0</v>
      </c>
      <c r="H49" s="3">
        <v>0</v>
      </c>
      <c r="I49" s="3">
        <v>0</v>
      </c>
      <c r="J49" s="3">
        <v>14</v>
      </c>
      <c r="K49" s="3">
        <v>0</v>
      </c>
      <c r="L49" s="3">
        <v>1</v>
      </c>
      <c r="M49" s="3">
        <v>0</v>
      </c>
      <c r="N49" s="20">
        <f>SUM(B49:M49)</f>
        <v>82</v>
      </c>
    </row>
    <row r="50" spans="1:14" x14ac:dyDescent="0.25">
      <c r="A50" s="10" t="s">
        <v>46</v>
      </c>
      <c r="B50" s="11">
        <f t="shared" ref="B50:M50" si="6">SUM(B47:B49)</f>
        <v>29</v>
      </c>
      <c r="C50" s="11">
        <f t="shared" si="6"/>
        <v>55</v>
      </c>
      <c r="D50" s="11">
        <f t="shared" si="6"/>
        <v>36</v>
      </c>
      <c r="E50" s="11">
        <f t="shared" si="6"/>
        <v>15</v>
      </c>
      <c r="F50" s="11">
        <f t="shared" si="6"/>
        <v>13</v>
      </c>
      <c r="G50" s="11">
        <f t="shared" si="6"/>
        <v>1</v>
      </c>
      <c r="H50" s="11">
        <f t="shared" si="6"/>
        <v>0</v>
      </c>
      <c r="I50" s="11">
        <f t="shared" si="6"/>
        <v>0</v>
      </c>
      <c r="J50" s="11">
        <f t="shared" si="6"/>
        <v>39</v>
      </c>
      <c r="K50" s="11">
        <f t="shared" si="6"/>
        <v>10</v>
      </c>
      <c r="L50" s="11">
        <f t="shared" si="6"/>
        <v>23</v>
      </c>
      <c r="M50" s="11">
        <f t="shared" si="6"/>
        <v>0</v>
      </c>
      <c r="N50" s="11">
        <f>SUM(B50:M50)</f>
        <v>221</v>
      </c>
    </row>
    <row r="51" spans="1:14" ht="30" x14ac:dyDescent="0.25">
      <c r="A51" s="16" t="s">
        <v>44</v>
      </c>
      <c r="B51" s="17">
        <v>0.5</v>
      </c>
      <c r="C51" s="17">
        <v>1</v>
      </c>
      <c r="D51" s="17">
        <v>1</v>
      </c>
      <c r="E51" s="17">
        <v>1.75</v>
      </c>
      <c r="F51" s="17">
        <v>1.75</v>
      </c>
      <c r="G51" s="17">
        <v>2</v>
      </c>
      <c r="H51" s="17">
        <v>2.5</v>
      </c>
      <c r="I51" s="17">
        <v>1.25</v>
      </c>
      <c r="J51" s="17">
        <v>1.5</v>
      </c>
      <c r="K51" s="17">
        <v>2.75</v>
      </c>
      <c r="L51" s="17">
        <v>3</v>
      </c>
      <c r="M51" s="17">
        <v>2</v>
      </c>
      <c r="N51" s="8"/>
    </row>
    <row r="52" spans="1:14" ht="45" x14ac:dyDescent="0.25">
      <c r="A52" s="9" t="s">
        <v>48</v>
      </c>
      <c r="B52" s="18">
        <f>B50*B51</f>
        <v>14.5</v>
      </c>
      <c r="C52" s="18">
        <f t="shared" ref="C52:M52" si="7">C50*C51</f>
        <v>55</v>
      </c>
      <c r="D52" s="18">
        <f t="shared" si="7"/>
        <v>36</v>
      </c>
      <c r="E52" s="18">
        <f t="shared" si="7"/>
        <v>26.25</v>
      </c>
      <c r="F52" s="18">
        <f t="shared" si="7"/>
        <v>22.75</v>
      </c>
      <c r="G52" s="18">
        <f t="shared" si="7"/>
        <v>2</v>
      </c>
      <c r="H52" s="18">
        <f t="shared" si="7"/>
        <v>0</v>
      </c>
      <c r="I52" s="18">
        <f t="shared" si="7"/>
        <v>0</v>
      </c>
      <c r="J52" s="18">
        <f t="shared" si="7"/>
        <v>58.5</v>
      </c>
      <c r="K52" s="18">
        <f t="shared" si="7"/>
        <v>27.5</v>
      </c>
      <c r="L52" s="18">
        <f t="shared" si="7"/>
        <v>69</v>
      </c>
      <c r="M52" s="18">
        <f t="shared" si="7"/>
        <v>0</v>
      </c>
      <c r="N52" s="19">
        <f>SUM(B52:M52)</f>
        <v>311.5</v>
      </c>
    </row>
    <row r="54" spans="1:14" ht="27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4" x14ac:dyDescent="0.25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4" x14ac:dyDescent="0.25">
      <c r="A56" s="37" t="s">
        <v>49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9" customHeight="1" x14ac:dyDescent="0.25"/>
    <row r="58" spans="1:14" ht="75" x14ac:dyDescent="0.25">
      <c r="A58" s="1"/>
      <c r="B58" s="2" t="s">
        <v>1</v>
      </c>
      <c r="C58" s="2" t="s">
        <v>2</v>
      </c>
      <c r="D58" s="2" t="s">
        <v>45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7" t="s">
        <v>47</v>
      </c>
    </row>
    <row r="59" spans="1:14" x14ac:dyDescent="0.25">
      <c r="A59" s="31" t="s">
        <v>93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3"/>
      <c r="N59" s="8"/>
    </row>
    <row r="60" spans="1:14" ht="45" x14ac:dyDescent="0.25">
      <c r="A60" s="4" t="s">
        <v>110</v>
      </c>
      <c r="B60" s="3">
        <f t="shared" ref="B60:M60" si="8">(B14+B25+B36+B47)</f>
        <v>66</v>
      </c>
      <c r="C60" s="3">
        <f t="shared" si="8"/>
        <v>52</v>
      </c>
      <c r="D60" s="3">
        <f t="shared" si="8"/>
        <v>36</v>
      </c>
      <c r="E60" s="3">
        <f t="shared" si="8"/>
        <v>8</v>
      </c>
      <c r="F60" s="3">
        <f t="shared" si="8"/>
        <v>12</v>
      </c>
      <c r="G60" s="3">
        <f t="shared" si="8"/>
        <v>2</v>
      </c>
      <c r="H60" s="3">
        <f t="shared" si="8"/>
        <v>0</v>
      </c>
      <c r="I60" s="3">
        <f t="shared" si="8"/>
        <v>2</v>
      </c>
      <c r="J60" s="3">
        <f t="shared" si="8"/>
        <v>8</v>
      </c>
      <c r="K60" s="3">
        <f t="shared" si="8"/>
        <v>2</v>
      </c>
      <c r="L60" s="3">
        <f t="shared" si="8"/>
        <v>3</v>
      </c>
      <c r="M60" s="3">
        <f t="shared" si="8"/>
        <v>1</v>
      </c>
      <c r="N60" s="20">
        <f>SUM(B60:M60)</f>
        <v>192</v>
      </c>
    </row>
    <row r="61" spans="1:14" ht="45" x14ac:dyDescent="0.25">
      <c r="A61" s="4" t="s">
        <v>111</v>
      </c>
      <c r="B61" s="3">
        <f t="shared" ref="B61:M61" si="9">(B15+B26+B37+B48)</f>
        <v>38</v>
      </c>
      <c r="C61" s="3">
        <f t="shared" si="9"/>
        <v>81</v>
      </c>
      <c r="D61" s="3">
        <f t="shared" si="9"/>
        <v>56</v>
      </c>
      <c r="E61" s="3">
        <f t="shared" si="9"/>
        <v>23</v>
      </c>
      <c r="F61" s="3">
        <f t="shared" si="9"/>
        <v>20</v>
      </c>
      <c r="G61" s="3">
        <f t="shared" si="9"/>
        <v>12</v>
      </c>
      <c r="H61" s="3">
        <f t="shared" si="9"/>
        <v>3</v>
      </c>
      <c r="I61" s="3">
        <f t="shared" si="9"/>
        <v>5</v>
      </c>
      <c r="J61" s="3">
        <f t="shared" si="9"/>
        <v>58</v>
      </c>
      <c r="K61" s="3">
        <f t="shared" si="9"/>
        <v>42</v>
      </c>
      <c r="L61" s="3">
        <f t="shared" si="9"/>
        <v>96</v>
      </c>
      <c r="M61" s="3">
        <f t="shared" si="9"/>
        <v>0</v>
      </c>
      <c r="N61" s="20">
        <f>SUM(B61:M61)</f>
        <v>434</v>
      </c>
    </row>
    <row r="62" spans="1:14" ht="45" x14ac:dyDescent="0.25">
      <c r="A62" s="4" t="s">
        <v>112</v>
      </c>
      <c r="B62" s="3">
        <f t="shared" ref="B62:M62" si="10">(B16+B27+B38+B49)</f>
        <v>6</v>
      </c>
      <c r="C62" s="3">
        <f t="shared" si="10"/>
        <v>75</v>
      </c>
      <c r="D62" s="3">
        <f t="shared" si="10"/>
        <v>64</v>
      </c>
      <c r="E62" s="3">
        <f t="shared" si="10"/>
        <v>29</v>
      </c>
      <c r="F62" s="3">
        <f t="shared" si="10"/>
        <v>19</v>
      </c>
      <c r="G62" s="3">
        <f t="shared" si="10"/>
        <v>0</v>
      </c>
      <c r="H62" s="3">
        <f t="shared" si="10"/>
        <v>0</v>
      </c>
      <c r="I62" s="3">
        <f t="shared" si="10"/>
        <v>2</v>
      </c>
      <c r="J62" s="3">
        <f t="shared" si="10"/>
        <v>41</v>
      </c>
      <c r="K62" s="3">
        <f t="shared" si="10"/>
        <v>7</v>
      </c>
      <c r="L62" s="3">
        <f t="shared" si="10"/>
        <v>34</v>
      </c>
      <c r="M62" s="3">
        <f t="shared" si="10"/>
        <v>0</v>
      </c>
      <c r="N62" s="20">
        <f>SUM(B62:M62)</f>
        <v>277</v>
      </c>
    </row>
    <row r="63" spans="1:14" x14ac:dyDescent="0.25">
      <c r="A63" s="10" t="s">
        <v>46</v>
      </c>
      <c r="B63" s="11">
        <f t="shared" ref="B63:M63" si="11">SUM(B60:B62)</f>
        <v>110</v>
      </c>
      <c r="C63" s="11">
        <f t="shared" si="11"/>
        <v>208</v>
      </c>
      <c r="D63" s="11">
        <f t="shared" si="11"/>
        <v>156</v>
      </c>
      <c r="E63" s="11">
        <f t="shared" si="11"/>
        <v>60</v>
      </c>
      <c r="F63" s="11">
        <f t="shared" si="11"/>
        <v>51</v>
      </c>
      <c r="G63" s="11">
        <f t="shared" si="11"/>
        <v>14</v>
      </c>
      <c r="H63" s="11">
        <f t="shared" si="11"/>
        <v>3</v>
      </c>
      <c r="I63" s="11">
        <f t="shared" si="11"/>
        <v>9</v>
      </c>
      <c r="J63" s="11">
        <f t="shared" si="11"/>
        <v>107</v>
      </c>
      <c r="K63" s="11">
        <f t="shared" si="11"/>
        <v>51</v>
      </c>
      <c r="L63" s="11">
        <f t="shared" si="11"/>
        <v>133</v>
      </c>
      <c r="M63" s="11">
        <f t="shared" si="11"/>
        <v>1</v>
      </c>
      <c r="N63" s="11">
        <f>SUM(B63:M63)</f>
        <v>903</v>
      </c>
    </row>
    <row r="64" spans="1:14" ht="30" x14ac:dyDescent="0.25">
      <c r="A64" s="16" t="s">
        <v>44</v>
      </c>
      <c r="B64" s="17">
        <v>0.5</v>
      </c>
      <c r="C64" s="17">
        <v>1</v>
      </c>
      <c r="D64" s="17">
        <v>1</v>
      </c>
      <c r="E64" s="17">
        <v>1.75</v>
      </c>
      <c r="F64" s="17">
        <v>1.75</v>
      </c>
      <c r="G64" s="17">
        <v>2</v>
      </c>
      <c r="H64" s="17">
        <v>2.5</v>
      </c>
      <c r="I64" s="17">
        <v>1.25</v>
      </c>
      <c r="J64" s="17">
        <v>1.5</v>
      </c>
      <c r="K64" s="17">
        <v>2.75</v>
      </c>
      <c r="L64" s="17">
        <v>3</v>
      </c>
      <c r="M64" s="17">
        <v>2</v>
      </c>
      <c r="N64" s="8"/>
    </row>
    <row r="65" spans="1:14" ht="45" x14ac:dyDescent="0.25">
      <c r="A65" s="9" t="s">
        <v>48</v>
      </c>
      <c r="B65" s="18">
        <f>B63*B64</f>
        <v>55</v>
      </c>
      <c r="C65" s="18">
        <f t="shared" ref="C65:M65" si="12">C63*C64</f>
        <v>208</v>
      </c>
      <c r="D65" s="18">
        <f t="shared" si="12"/>
        <v>156</v>
      </c>
      <c r="E65" s="18">
        <f t="shared" si="12"/>
        <v>105</v>
      </c>
      <c r="F65" s="18">
        <f t="shared" si="12"/>
        <v>89.25</v>
      </c>
      <c r="G65" s="18">
        <f t="shared" si="12"/>
        <v>28</v>
      </c>
      <c r="H65" s="18">
        <f t="shared" si="12"/>
        <v>7.5</v>
      </c>
      <c r="I65" s="18">
        <f t="shared" si="12"/>
        <v>11.25</v>
      </c>
      <c r="J65" s="18">
        <f t="shared" si="12"/>
        <v>160.5</v>
      </c>
      <c r="K65" s="18">
        <f t="shared" si="12"/>
        <v>140.25</v>
      </c>
      <c r="L65" s="18">
        <f t="shared" si="12"/>
        <v>399</v>
      </c>
      <c r="M65" s="18">
        <f t="shared" si="12"/>
        <v>2</v>
      </c>
      <c r="N65" s="19">
        <f>SUM(B65:M65)</f>
        <v>1361.75</v>
      </c>
    </row>
    <row r="67" spans="1:14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73" spans="1:14" ht="34.5" customHeight="1" x14ac:dyDescent="0.25"/>
    <row r="82" spans="1:13" x14ac:dyDescent="0.25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25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</sheetData>
  <mergeCells count="13">
    <mergeCell ref="A9:N9"/>
    <mergeCell ref="A1:N1"/>
    <mergeCell ref="A3:N3"/>
    <mergeCell ref="A5:N5"/>
    <mergeCell ref="A6:N6"/>
    <mergeCell ref="A7:N7"/>
    <mergeCell ref="A59:M59"/>
    <mergeCell ref="A10:N10"/>
    <mergeCell ref="A13:M13"/>
    <mergeCell ref="A24:M24"/>
    <mergeCell ref="A35:M35"/>
    <mergeCell ref="A46:M46"/>
    <mergeCell ref="A56:N56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4"/>
  <sheetViews>
    <sheetView view="pageBreakPreview" zoomScaleNormal="100" zoomScaleSheetLayoutView="100" workbookViewId="0">
      <selection activeCell="A4" sqref="A4"/>
    </sheetView>
  </sheetViews>
  <sheetFormatPr defaultRowHeight="15" x14ac:dyDescent="0.25"/>
  <cols>
    <col min="1" max="1" width="14.85546875" customWidth="1"/>
  </cols>
  <sheetData>
    <row r="1" spans="1:14" x14ac:dyDescent="0.25">
      <c r="A1" s="30" t="s">
        <v>107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8" t="str">
        <f>'7-8AM'!A3:N3</f>
        <v>ROAD: NAIROBI - MOMBASA (A8) ROAD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9" customHeight="1" x14ac:dyDescent="0.25"/>
    <row r="5" spans="1:14" x14ac:dyDescent="0.25">
      <c r="A5" s="39" t="str">
        <f>'7-8AM'!A5:N5</f>
        <v>SITE: ATHI RIVER AREA, MACHAKOS COUNTY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9" t="str">
        <f>'7-8AM'!A6:N6</f>
        <v>PROJECT: EXISTING COMMERCIAL DEVELOPMENT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x14ac:dyDescent="0.25">
      <c r="A7" s="39" t="str">
        <f>'7-8AM'!A7:N7</f>
        <v>C/O: CRYSTAL RIVERS MALL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7.5" customHeight="1" x14ac:dyDescent="0.25"/>
    <row r="9" spans="1:14" x14ac:dyDescent="0.25">
      <c r="A9" s="35" t="s">
        <v>17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34" t="s">
        <v>43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ht="9" customHeight="1" x14ac:dyDescent="0.25"/>
    <row r="12" spans="1:14" ht="71.25" customHeight="1" x14ac:dyDescent="0.25">
      <c r="A12" s="1" t="s">
        <v>0</v>
      </c>
      <c r="B12" s="2" t="s">
        <v>1</v>
      </c>
      <c r="C12" s="2" t="s">
        <v>2</v>
      </c>
      <c r="D12" s="2" t="s">
        <v>45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7" t="s">
        <v>47</v>
      </c>
    </row>
    <row r="13" spans="1:14" ht="20.25" customHeight="1" x14ac:dyDescent="0.25">
      <c r="A13" s="31" t="s">
        <v>94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8"/>
    </row>
    <row r="14" spans="1:14" ht="28.5" customHeight="1" x14ac:dyDescent="0.25">
      <c r="A14" s="4" t="s">
        <v>110</v>
      </c>
      <c r="B14" s="3">
        <v>24</v>
      </c>
      <c r="C14" s="3">
        <v>23</v>
      </c>
      <c r="D14" s="3">
        <v>11</v>
      </c>
      <c r="E14" s="3">
        <v>5</v>
      </c>
      <c r="F14" s="3">
        <v>6</v>
      </c>
      <c r="G14" s="3">
        <v>1</v>
      </c>
      <c r="H14" s="3">
        <v>0</v>
      </c>
      <c r="I14" s="3">
        <v>1</v>
      </c>
      <c r="J14" s="3">
        <v>7</v>
      </c>
      <c r="K14" s="3">
        <v>2</v>
      </c>
      <c r="L14" s="3">
        <v>2</v>
      </c>
      <c r="M14" s="3">
        <v>0</v>
      </c>
      <c r="N14" s="20">
        <f>SUM(B14:M14)</f>
        <v>82</v>
      </c>
    </row>
    <row r="15" spans="1:14" ht="31.5" customHeight="1" x14ac:dyDescent="0.25">
      <c r="A15" s="4" t="s">
        <v>111</v>
      </c>
      <c r="B15" s="3">
        <v>13</v>
      </c>
      <c r="C15" s="3">
        <v>11</v>
      </c>
      <c r="D15" s="3">
        <v>19</v>
      </c>
      <c r="E15" s="3">
        <v>5</v>
      </c>
      <c r="F15" s="3">
        <v>4</v>
      </c>
      <c r="G15" s="3">
        <v>1</v>
      </c>
      <c r="H15" s="3">
        <v>0</v>
      </c>
      <c r="I15" s="3">
        <v>0</v>
      </c>
      <c r="J15" s="3">
        <v>15</v>
      </c>
      <c r="K15" s="3">
        <v>8</v>
      </c>
      <c r="L15" s="3">
        <v>17</v>
      </c>
      <c r="M15" s="3">
        <v>0</v>
      </c>
      <c r="N15" s="20">
        <f>SUM(B15:M15)</f>
        <v>93</v>
      </c>
    </row>
    <row r="16" spans="1:14" ht="27" customHeight="1" x14ac:dyDescent="0.25">
      <c r="A16" s="4" t="s">
        <v>112</v>
      </c>
      <c r="B16" s="3">
        <v>2</v>
      </c>
      <c r="C16" s="3">
        <v>36</v>
      </c>
      <c r="D16" s="3">
        <v>32</v>
      </c>
      <c r="E16" s="3">
        <v>18</v>
      </c>
      <c r="F16" s="3">
        <v>2</v>
      </c>
      <c r="G16" s="3">
        <v>2</v>
      </c>
      <c r="H16" s="3">
        <v>2</v>
      </c>
      <c r="I16" s="3">
        <v>3</v>
      </c>
      <c r="J16" s="3">
        <v>20</v>
      </c>
      <c r="K16" s="3">
        <v>6</v>
      </c>
      <c r="L16" s="3">
        <v>31</v>
      </c>
      <c r="M16" s="3">
        <v>0</v>
      </c>
      <c r="N16" s="20">
        <f>SUM(B16:M16)</f>
        <v>154</v>
      </c>
    </row>
    <row r="17" spans="1:14" ht="47.25" customHeight="1" x14ac:dyDescent="0.25">
      <c r="A17" s="10" t="s">
        <v>46</v>
      </c>
      <c r="B17" s="11">
        <f t="shared" ref="B17:M17" si="0">SUM(B14:B16)</f>
        <v>39</v>
      </c>
      <c r="C17" s="11">
        <f t="shared" si="0"/>
        <v>70</v>
      </c>
      <c r="D17" s="11">
        <f t="shared" si="0"/>
        <v>62</v>
      </c>
      <c r="E17" s="11">
        <f t="shared" si="0"/>
        <v>28</v>
      </c>
      <c r="F17" s="11">
        <f t="shared" si="0"/>
        <v>12</v>
      </c>
      <c r="G17" s="11">
        <f t="shared" si="0"/>
        <v>4</v>
      </c>
      <c r="H17" s="11">
        <f t="shared" si="0"/>
        <v>2</v>
      </c>
      <c r="I17" s="11">
        <f t="shared" si="0"/>
        <v>4</v>
      </c>
      <c r="J17" s="11">
        <f t="shared" si="0"/>
        <v>42</v>
      </c>
      <c r="K17" s="11">
        <f t="shared" si="0"/>
        <v>16</v>
      </c>
      <c r="L17" s="11">
        <f t="shared" si="0"/>
        <v>50</v>
      </c>
      <c r="M17" s="11">
        <f t="shared" si="0"/>
        <v>0</v>
      </c>
      <c r="N17" s="11">
        <f>SUM(B17:M17)</f>
        <v>329</v>
      </c>
    </row>
    <row r="18" spans="1:14" ht="30" x14ac:dyDescent="0.25">
      <c r="A18" s="16" t="s">
        <v>44</v>
      </c>
      <c r="B18" s="17">
        <v>0.5</v>
      </c>
      <c r="C18" s="17">
        <v>1</v>
      </c>
      <c r="D18" s="17">
        <v>1</v>
      </c>
      <c r="E18" s="17">
        <v>1.75</v>
      </c>
      <c r="F18" s="17">
        <v>1.75</v>
      </c>
      <c r="G18" s="17">
        <v>2</v>
      </c>
      <c r="H18" s="17">
        <v>2.5</v>
      </c>
      <c r="I18" s="17">
        <v>1.25</v>
      </c>
      <c r="J18" s="17">
        <v>1.5</v>
      </c>
      <c r="K18" s="17">
        <v>2.75</v>
      </c>
      <c r="L18" s="17">
        <v>3</v>
      </c>
      <c r="M18" s="17">
        <v>2</v>
      </c>
      <c r="N18" s="8"/>
    </row>
    <row r="19" spans="1:14" ht="45" x14ac:dyDescent="0.25">
      <c r="A19" s="9" t="s">
        <v>48</v>
      </c>
      <c r="B19" s="18">
        <f>B17*B18</f>
        <v>19.5</v>
      </c>
      <c r="C19" s="18">
        <f t="shared" ref="C19:M19" si="1">C17*C18</f>
        <v>70</v>
      </c>
      <c r="D19" s="18">
        <f t="shared" si="1"/>
        <v>62</v>
      </c>
      <c r="E19" s="18">
        <f t="shared" si="1"/>
        <v>49</v>
      </c>
      <c r="F19" s="18">
        <f t="shared" si="1"/>
        <v>21</v>
      </c>
      <c r="G19" s="18">
        <f t="shared" si="1"/>
        <v>8</v>
      </c>
      <c r="H19" s="18">
        <f t="shared" si="1"/>
        <v>5</v>
      </c>
      <c r="I19" s="18">
        <f t="shared" si="1"/>
        <v>5</v>
      </c>
      <c r="J19" s="18">
        <f t="shared" si="1"/>
        <v>63</v>
      </c>
      <c r="K19" s="18">
        <f t="shared" si="1"/>
        <v>44</v>
      </c>
      <c r="L19" s="18">
        <f t="shared" si="1"/>
        <v>150</v>
      </c>
      <c r="M19" s="18">
        <f t="shared" si="1"/>
        <v>0</v>
      </c>
      <c r="N19" s="19">
        <f>SUM(B19:M19)</f>
        <v>496.5</v>
      </c>
    </row>
    <row r="20" spans="1:14" x14ac:dyDescent="0.25">
      <c r="A20" s="5"/>
    </row>
    <row r="21" spans="1:14" x14ac:dyDescent="0.25">
      <c r="A21" s="5"/>
    </row>
    <row r="22" spans="1:14" x14ac:dyDescent="0.25">
      <c r="A22" s="5"/>
    </row>
    <row r="23" spans="1:14" ht="75" x14ac:dyDescent="0.25">
      <c r="A23" s="1" t="s">
        <v>0</v>
      </c>
      <c r="B23" s="2" t="s">
        <v>1</v>
      </c>
      <c r="C23" s="2" t="s">
        <v>2</v>
      </c>
      <c r="D23" s="2" t="s">
        <v>45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  <c r="N23" s="7" t="s">
        <v>47</v>
      </c>
    </row>
    <row r="24" spans="1:14" x14ac:dyDescent="0.25">
      <c r="A24" s="31" t="s">
        <v>83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8"/>
    </row>
    <row r="25" spans="1:14" ht="27" customHeight="1" x14ac:dyDescent="0.25">
      <c r="A25" s="4" t="s">
        <v>110</v>
      </c>
      <c r="B25" s="3">
        <v>19</v>
      </c>
      <c r="C25" s="3">
        <v>19</v>
      </c>
      <c r="D25" s="3">
        <v>8</v>
      </c>
      <c r="E25" s="3">
        <v>1</v>
      </c>
      <c r="F25" s="3">
        <v>1</v>
      </c>
      <c r="G25" s="3">
        <v>0</v>
      </c>
      <c r="H25" s="3">
        <v>0</v>
      </c>
      <c r="I25" s="3">
        <v>0</v>
      </c>
      <c r="J25" s="3">
        <v>2</v>
      </c>
      <c r="K25" s="3">
        <v>0</v>
      </c>
      <c r="L25" s="3">
        <v>1</v>
      </c>
      <c r="M25" s="3">
        <v>0</v>
      </c>
      <c r="N25" s="20">
        <f>SUM(B25:M25)</f>
        <v>51</v>
      </c>
    </row>
    <row r="26" spans="1:14" ht="30" x14ac:dyDescent="0.25">
      <c r="A26" s="4" t="s">
        <v>111</v>
      </c>
      <c r="B26" s="3">
        <v>4</v>
      </c>
      <c r="C26" s="3">
        <v>26</v>
      </c>
      <c r="D26" s="3">
        <v>8</v>
      </c>
      <c r="E26" s="3">
        <v>5</v>
      </c>
      <c r="F26" s="3">
        <v>8</v>
      </c>
      <c r="G26" s="3">
        <v>0</v>
      </c>
      <c r="H26" s="3">
        <v>0</v>
      </c>
      <c r="I26" s="3">
        <v>1</v>
      </c>
      <c r="J26" s="3">
        <v>10</v>
      </c>
      <c r="K26" s="3">
        <v>3</v>
      </c>
      <c r="L26" s="3">
        <v>24</v>
      </c>
      <c r="M26" s="3">
        <v>0</v>
      </c>
      <c r="N26" s="20">
        <f>SUM(B26:M26)</f>
        <v>89</v>
      </c>
    </row>
    <row r="27" spans="1:14" ht="30" x14ac:dyDescent="0.25">
      <c r="A27" s="4" t="s">
        <v>112</v>
      </c>
      <c r="B27" s="3">
        <v>1</v>
      </c>
      <c r="C27" s="3">
        <v>41</v>
      </c>
      <c r="D27" s="3">
        <v>34</v>
      </c>
      <c r="E27" s="3">
        <v>5</v>
      </c>
      <c r="F27" s="3">
        <v>5</v>
      </c>
      <c r="G27" s="3">
        <v>1</v>
      </c>
      <c r="H27" s="3">
        <v>2</v>
      </c>
      <c r="I27" s="3">
        <v>0</v>
      </c>
      <c r="J27" s="3">
        <v>27</v>
      </c>
      <c r="K27" s="3">
        <v>6</v>
      </c>
      <c r="L27" s="3">
        <v>13</v>
      </c>
      <c r="M27" s="3">
        <v>0</v>
      </c>
      <c r="N27" s="20">
        <f>SUM(B27:M27)</f>
        <v>135</v>
      </c>
    </row>
    <row r="28" spans="1:14" x14ac:dyDescent="0.25">
      <c r="A28" s="10" t="s">
        <v>46</v>
      </c>
      <c r="B28" s="11">
        <f t="shared" ref="B28:M28" si="2">SUM(B25:B27)</f>
        <v>24</v>
      </c>
      <c r="C28" s="11">
        <f t="shared" si="2"/>
        <v>86</v>
      </c>
      <c r="D28" s="11">
        <f t="shared" si="2"/>
        <v>50</v>
      </c>
      <c r="E28" s="11">
        <f t="shared" si="2"/>
        <v>11</v>
      </c>
      <c r="F28" s="11">
        <f t="shared" si="2"/>
        <v>14</v>
      </c>
      <c r="G28" s="11">
        <f t="shared" si="2"/>
        <v>1</v>
      </c>
      <c r="H28" s="11">
        <f t="shared" si="2"/>
        <v>2</v>
      </c>
      <c r="I28" s="11">
        <f t="shared" si="2"/>
        <v>1</v>
      </c>
      <c r="J28" s="11">
        <f t="shared" si="2"/>
        <v>39</v>
      </c>
      <c r="K28" s="11">
        <f t="shared" si="2"/>
        <v>9</v>
      </c>
      <c r="L28" s="11">
        <f t="shared" si="2"/>
        <v>38</v>
      </c>
      <c r="M28" s="11">
        <f t="shared" si="2"/>
        <v>0</v>
      </c>
      <c r="N28" s="11">
        <f>SUM(B28:M28)</f>
        <v>275</v>
      </c>
    </row>
    <row r="29" spans="1:14" ht="30" x14ac:dyDescent="0.25">
      <c r="A29" s="16" t="s">
        <v>44</v>
      </c>
      <c r="B29" s="17">
        <v>0.5</v>
      </c>
      <c r="C29" s="17">
        <v>1</v>
      </c>
      <c r="D29" s="17">
        <v>1</v>
      </c>
      <c r="E29" s="17">
        <v>1.75</v>
      </c>
      <c r="F29" s="17">
        <v>1.75</v>
      </c>
      <c r="G29" s="17">
        <v>2</v>
      </c>
      <c r="H29" s="17">
        <v>2.5</v>
      </c>
      <c r="I29" s="17">
        <v>1.25</v>
      </c>
      <c r="J29" s="17">
        <v>1.5</v>
      </c>
      <c r="K29" s="17">
        <v>2.75</v>
      </c>
      <c r="L29" s="17">
        <v>3</v>
      </c>
      <c r="M29" s="17">
        <v>2</v>
      </c>
      <c r="N29" s="8"/>
    </row>
    <row r="30" spans="1:14" ht="45" x14ac:dyDescent="0.25">
      <c r="A30" s="9" t="s">
        <v>48</v>
      </c>
      <c r="B30" s="18">
        <f>B28*B29</f>
        <v>12</v>
      </c>
      <c r="C30" s="18">
        <f t="shared" ref="C30:M30" si="3">C28*C29</f>
        <v>86</v>
      </c>
      <c r="D30" s="18">
        <f t="shared" si="3"/>
        <v>50</v>
      </c>
      <c r="E30" s="18">
        <f t="shared" si="3"/>
        <v>19.25</v>
      </c>
      <c r="F30" s="18">
        <f t="shared" si="3"/>
        <v>24.5</v>
      </c>
      <c r="G30" s="18">
        <f t="shared" si="3"/>
        <v>2</v>
      </c>
      <c r="H30" s="18">
        <f t="shared" si="3"/>
        <v>5</v>
      </c>
      <c r="I30" s="18">
        <f t="shared" si="3"/>
        <v>1.25</v>
      </c>
      <c r="J30" s="18">
        <f t="shared" si="3"/>
        <v>58.5</v>
      </c>
      <c r="K30" s="18">
        <f t="shared" si="3"/>
        <v>24.75</v>
      </c>
      <c r="L30" s="18">
        <f t="shared" si="3"/>
        <v>114</v>
      </c>
      <c r="M30" s="18">
        <f t="shared" si="3"/>
        <v>0</v>
      </c>
      <c r="N30" s="19">
        <f>SUM(B30:M30)</f>
        <v>397.25</v>
      </c>
    </row>
    <row r="31" spans="1:14" x14ac:dyDescent="0.25">
      <c r="A31" s="12"/>
    </row>
    <row r="32" spans="1:14" ht="24.75" customHeight="1" x14ac:dyDescent="0.25">
      <c r="A32" s="12"/>
    </row>
    <row r="33" spans="1:14" x14ac:dyDescent="0.25">
      <c r="A33" s="12"/>
    </row>
    <row r="34" spans="1:14" ht="45" customHeight="1" x14ac:dyDescent="0.25">
      <c r="A34" s="1" t="s">
        <v>0</v>
      </c>
      <c r="B34" s="2" t="s">
        <v>1</v>
      </c>
      <c r="C34" s="2" t="s">
        <v>2</v>
      </c>
      <c r="D34" s="2" t="s">
        <v>45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7" t="s">
        <v>47</v>
      </c>
    </row>
    <row r="35" spans="1:14" ht="30.75" customHeight="1" x14ac:dyDescent="0.25">
      <c r="A35" s="31" t="s">
        <v>84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8"/>
    </row>
    <row r="36" spans="1:14" ht="30" x14ac:dyDescent="0.25">
      <c r="A36" s="4" t="s">
        <v>110</v>
      </c>
      <c r="B36" s="3">
        <v>20</v>
      </c>
      <c r="C36" s="3">
        <v>21</v>
      </c>
      <c r="D36" s="3">
        <v>9</v>
      </c>
      <c r="E36" s="3">
        <v>5</v>
      </c>
      <c r="F36" s="3">
        <v>5</v>
      </c>
      <c r="G36" s="3">
        <v>0</v>
      </c>
      <c r="H36" s="3">
        <v>1</v>
      </c>
      <c r="I36" s="3">
        <v>0</v>
      </c>
      <c r="J36" s="3">
        <v>4</v>
      </c>
      <c r="K36" s="3">
        <v>2</v>
      </c>
      <c r="L36" s="3">
        <v>2</v>
      </c>
      <c r="M36" s="3">
        <v>0</v>
      </c>
      <c r="N36" s="20">
        <f>SUM(B36:M36)</f>
        <v>69</v>
      </c>
    </row>
    <row r="37" spans="1:14" ht="30" x14ac:dyDescent="0.25">
      <c r="A37" s="4" t="s">
        <v>111</v>
      </c>
      <c r="B37" s="3">
        <v>4</v>
      </c>
      <c r="C37" s="3">
        <v>25</v>
      </c>
      <c r="D37" s="3">
        <v>8</v>
      </c>
      <c r="E37" s="3">
        <v>8</v>
      </c>
      <c r="F37" s="3">
        <v>4</v>
      </c>
      <c r="G37" s="3">
        <v>2</v>
      </c>
      <c r="H37" s="3">
        <v>2</v>
      </c>
      <c r="I37" s="3">
        <v>6</v>
      </c>
      <c r="J37" s="3">
        <v>15</v>
      </c>
      <c r="K37" s="3">
        <v>7</v>
      </c>
      <c r="L37" s="3">
        <v>32</v>
      </c>
      <c r="M37" s="3">
        <v>0</v>
      </c>
      <c r="N37" s="20">
        <f>SUM(B37:M37)</f>
        <v>113</v>
      </c>
    </row>
    <row r="38" spans="1:14" ht="30" x14ac:dyDescent="0.25">
      <c r="A38" s="4" t="s">
        <v>112</v>
      </c>
      <c r="B38" s="3">
        <v>3</v>
      </c>
      <c r="C38" s="3">
        <v>27</v>
      </c>
      <c r="D38" s="3">
        <v>24</v>
      </c>
      <c r="E38" s="3">
        <v>14</v>
      </c>
      <c r="F38" s="3">
        <v>7</v>
      </c>
      <c r="G38" s="3">
        <v>1</v>
      </c>
      <c r="H38" s="3">
        <v>3</v>
      </c>
      <c r="I38" s="3">
        <v>0</v>
      </c>
      <c r="J38" s="3">
        <v>17</v>
      </c>
      <c r="K38" s="3">
        <v>3</v>
      </c>
      <c r="L38" s="3">
        <v>30</v>
      </c>
      <c r="M38" s="3">
        <v>0</v>
      </c>
      <c r="N38" s="20">
        <f>SUM(B38:M38)</f>
        <v>129</v>
      </c>
    </row>
    <row r="39" spans="1:14" ht="53.25" customHeight="1" x14ac:dyDescent="0.25">
      <c r="A39" s="10" t="s">
        <v>46</v>
      </c>
      <c r="B39" s="11">
        <f t="shared" ref="B39:M39" si="4">SUM(B36:B38)</f>
        <v>27</v>
      </c>
      <c r="C39" s="11">
        <f t="shared" si="4"/>
        <v>73</v>
      </c>
      <c r="D39" s="11">
        <f t="shared" si="4"/>
        <v>41</v>
      </c>
      <c r="E39" s="11">
        <f t="shared" si="4"/>
        <v>27</v>
      </c>
      <c r="F39" s="11">
        <f t="shared" si="4"/>
        <v>16</v>
      </c>
      <c r="G39" s="11">
        <f t="shared" si="4"/>
        <v>3</v>
      </c>
      <c r="H39" s="11">
        <f t="shared" si="4"/>
        <v>6</v>
      </c>
      <c r="I39" s="11">
        <f t="shared" si="4"/>
        <v>6</v>
      </c>
      <c r="J39" s="11">
        <f t="shared" si="4"/>
        <v>36</v>
      </c>
      <c r="K39" s="11">
        <f t="shared" si="4"/>
        <v>12</v>
      </c>
      <c r="L39" s="11">
        <f t="shared" si="4"/>
        <v>64</v>
      </c>
      <c r="M39" s="11">
        <f t="shared" si="4"/>
        <v>0</v>
      </c>
      <c r="N39" s="11">
        <f>SUM(B39:M39)</f>
        <v>311</v>
      </c>
    </row>
    <row r="40" spans="1:14" ht="30" x14ac:dyDescent="0.25">
      <c r="A40" s="16" t="s">
        <v>44</v>
      </c>
      <c r="B40" s="17">
        <v>0.5</v>
      </c>
      <c r="C40" s="17">
        <v>1</v>
      </c>
      <c r="D40" s="17">
        <v>1</v>
      </c>
      <c r="E40" s="17">
        <v>1.75</v>
      </c>
      <c r="F40" s="17">
        <v>1.75</v>
      </c>
      <c r="G40" s="17">
        <v>2</v>
      </c>
      <c r="H40" s="17">
        <v>2.5</v>
      </c>
      <c r="I40" s="17">
        <v>1.25</v>
      </c>
      <c r="J40" s="17">
        <v>1.5</v>
      </c>
      <c r="K40" s="17">
        <v>2.75</v>
      </c>
      <c r="L40" s="17">
        <v>3</v>
      </c>
      <c r="M40" s="17">
        <v>2</v>
      </c>
      <c r="N40" s="8"/>
    </row>
    <row r="41" spans="1:14" ht="45" x14ac:dyDescent="0.25">
      <c r="A41" s="9" t="s">
        <v>48</v>
      </c>
      <c r="B41" s="18">
        <f>B39*B40</f>
        <v>13.5</v>
      </c>
      <c r="C41" s="18">
        <f t="shared" ref="C41:M41" si="5">C39*C40</f>
        <v>73</v>
      </c>
      <c r="D41" s="18">
        <f t="shared" si="5"/>
        <v>41</v>
      </c>
      <c r="E41" s="18">
        <f t="shared" si="5"/>
        <v>47.25</v>
      </c>
      <c r="F41" s="18">
        <f t="shared" si="5"/>
        <v>28</v>
      </c>
      <c r="G41" s="18">
        <f t="shared" si="5"/>
        <v>6</v>
      </c>
      <c r="H41" s="18">
        <f t="shared" si="5"/>
        <v>15</v>
      </c>
      <c r="I41" s="18">
        <f t="shared" si="5"/>
        <v>7.5</v>
      </c>
      <c r="J41" s="18">
        <f t="shared" si="5"/>
        <v>54</v>
      </c>
      <c r="K41" s="18">
        <f t="shared" si="5"/>
        <v>33</v>
      </c>
      <c r="L41" s="18">
        <f t="shared" si="5"/>
        <v>192</v>
      </c>
      <c r="M41" s="18">
        <f t="shared" si="5"/>
        <v>0</v>
      </c>
      <c r="N41" s="19">
        <f>SUM(B41:M41)</f>
        <v>510.25</v>
      </c>
    </row>
    <row r="42" spans="1:14" ht="32.25" customHeight="1" x14ac:dyDescent="0.25"/>
    <row r="43" spans="1:14" ht="27.75" customHeight="1" x14ac:dyDescent="0.25"/>
    <row r="45" spans="1:14" ht="62.25" customHeight="1" x14ac:dyDescent="0.25">
      <c r="A45" s="1" t="s">
        <v>0</v>
      </c>
      <c r="B45" s="2" t="s">
        <v>1</v>
      </c>
      <c r="C45" s="2" t="s">
        <v>2</v>
      </c>
      <c r="D45" s="2" t="s">
        <v>45</v>
      </c>
      <c r="E45" s="2" t="s">
        <v>3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8</v>
      </c>
      <c r="K45" s="2" t="s">
        <v>9</v>
      </c>
      <c r="L45" s="2" t="s">
        <v>10</v>
      </c>
      <c r="M45" s="2" t="s">
        <v>11</v>
      </c>
      <c r="N45" s="7" t="s">
        <v>47</v>
      </c>
    </row>
    <row r="46" spans="1:14" ht="21.75" customHeight="1" x14ac:dyDescent="0.25">
      <c r="A46" s="31" t="s">
        <v>85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8"/>
    </row>
    <row r="47" spans="1:14" ht="26.25" customHeight="1" x14ac:dyDescent="0.25">
      <c r="A47" s="4" t="s">
        <v>110</v>
      </c>
      <c r="B47" s="3">
        <v>25</v>
      </c>
      <c r="C47" s="3">
        <v>23</v>
      </c>
      <c r="D47" s="3">
        <v>11</v>
      </c>
      <c r="E47" s="3">
        <v>5</v>
      </c>
      <c r="F47" s="3">
        <v>4</v>
      </c>
      <c r="G47" s="3">
        <v>2</v>
      </c>
      <c r="H47" s="3">
        <v>0</v>
      </c>
      <c r="I47" s="3">
        <v>2</v>
      </c>
      <c r="J47" s="3">
        <v>4</v>
      </c>
      <c r="K47" s="3">
        <v>0</v>
      </c>
      <c r="L47" s="3">
        <v>3</v>
      </c>
      <c r="M47" s="3">
        <v>0</v>
      </c>
      <c r="N47" s="20">
        <f>SUM(B47:M47)</f>
        <v>79</v>
      </c>
    </row>
    <row r="48" spans="1:14" ht="30" x14ac:dyDescent="0.25">
      <c r="A48" s="4" t="s">
        <v>111</v>
      </c>
      <c r="B48" s="3">
        <v>4</v>
      </c>
      <c r="C48" s="3">
        <v>8</v>
      </c>
      <c r="D48" s="3">
        <v>5</v>
      </c>
      <c r="E48" s="3">
        <v>2</v>
      </c>
      <c r="F48" s="3">
        <v>2</v>
      </c>
      <c r="G48" s="3">
        <v>1</v>
      </c>
      <c r="H48" s="3">
        <v>1</v>
      </c>
      <c r="I48" s="3">
        <v>1</v>
      </c>
      <c r="J48" s="3">
        <v>5</v>
      </c>
      <c r="K48" s="3">
        <v>3</v>
      </c>
      <c r="L48" s="3">
        <v>11</v>
      </c>
      <c r="M48" s="3">
        <v>0</v>
      </c>
      <c r="N48" s="20">
        <f>SUM(B48:M48)</f>
        <v>43</v>
      </c>
    </row>
    <row r="49" spans="1:14" ht="28.5" customHeight="1" x14ac:dyDescent="0.25">
      <c r="A49" s="4" t="s">
        <v>112</v>
      </c>
      <c r="B49" s="3">
        <v>2</v>
      </c>
      <c r="C49" s="3">
        <v>44</v>
      </c>
      <c r="D49" s="3">
        <v>23</v>
      </c>
      <c r="E49" s="3">
        <v>14</v>
      </c>
      <c r="F49" s="3">
        <v>8</v>
      </c>
      <c r="G49" s="3">
        <v>0</v>
      </c>
      <c r="H49" s="3">
        <v>0</v>
      </c>
      <c r="I49" s="3">
        <v>0</v>
      </c>
      <c r="J49" s="3">
        <v>18</v>
      </c>
      <c r="K49" s="3">
        <v>4</v>
      </c>
      <c r="L49" s="3">
        <v>20</v>
      </c>
      <c r="M49" s="3">
        <v>0</v>
      </c>
      <c r="N49" s="20">
        <f>SUM(B49:M49)</f>
        <v>133</v>
      </c>
    </row>
    <row r="50" spans="1:14" x14ac:dyDescent="0.25">
      <c r="A50" s="10" t="s">
        <v>46</v>
      </c>
      <c r="B50" s="11">
        <f t="shared" ref="B50:M50" si="6">SUM(B47:B49)</f>
        <v>31</v>
      </c>
      <c r="C50" s="11">
        <f t="shared" si="6"/>
        <v>75</v>
      </c>
      <c r="D50" s="11">
        <f t="shared" si="6"/>
        <v>39</v>
      </c>
      <c r="E50" s="11">
        <f t="shared" si="6"/>
        <v>21</v>
      </c>
      <c r="F50" s="11">
        <f t="shared" si="6"/>
        <v>14</v>
      </c>
      <c r="G50" s="11">
        <f t="shared" si="6"/>
        <v>3</v>
      </c>
      <c r="H50" s="11">
        <f t="shared" si="6"/>
        <v>1</v>
      </c>
      <c r="I50" s="11">
        <f t="shared" si="6"/>
        <v>3</v>
      </c>
      <c r="J50" s="11">
        <f t="shared" si="6"/>
        <v>27</v>
      </c>
      <c r="K50" s="11">
        <f t="shared" si="6"/>
        <v>7</v>
      </c>
      <c r="L50" s="11">
        <f t="shared" si="6"/>
        <v>34</v>
      </c>
      <c r="M50" s="11">
        <f t="shared" si="6"/>
        <v>0</v>
      </c>
      <c r="N50" s="11">
        <f>SUM(B50:M50)</f>
        <v>255</v>
      </c>
    </row>
    <row r="51" spans="1:14" ht="30" x14ac:dyDescent="0.25">
      <c r="A51" s="16" t="s">
        <v>44</v>
      </c>
      <c r="B51" s="17">
        <v>0.5</v>
      </c>
      <c r="C51" s="17">
        <v>1</v>
      </c>
      <c r="D51" s="17">
        <v>1</v>
      </c>
      <c r="E51" s="17">
        <v>1.75</v>
      </c>
      <c r="F51" s="17">
        <v>1.75</v>
      </c>
      <c r="G51" s="17">
        <v>2</v>
      </c>
      <c r="H51" s="17">
        <v>2.5</v>
      </c>
      <c r="I51" s="17">
        <v>1.25</v>
      </c>
      <c r="J51" s="17">
        <v>1.5</v>
      </c>
      <c r="K51" s="17">
        <v>2.75</v>
      </c>
      <c r="L51" s="17">
        <v>3</v>
      </c>
      <c r="M51" s="17">
        <v>2</v>
      </c>
      <c r="N51" s="8"/>
    </row>
    <row r="52" spans="1:14" ht="45" x14ac:dyDescent="0.25">
      <c r="A52" s="9" t="s">
        <v>48</v>
      </c>
      <c r="B52" s="18">
        <f>B50*B51</f>
        <v>15.5</v>
      </c>
      <c r="C52" s="18">
        <f t="shared" ref="C52:M52" si="7">C50*C51</f>
        <v>75</v>
      </c>
      <c r="D52" s="18">
        <f t="shared" si="7"/>
        <v>39</v>
      </c>
      <c r="E52" s="18">
        <f t="shared" si="7"/>
        <v>36.75</v>
      </c>
      <c r="F52" s="18">
        <f t="shared" si="7"/>
        <v>24.5</v>
      </c>
      <c r="G52" s="18">
        <f t="shared" si="7"/>
        <v>6</v>
      </c>
      <c r="H52" s="18">
        <f t="shared" si="7"/>
        <v>2.5</v>
      </c>
      <c r="I52" s="18">
        <f t="shared" si="7"/>
        <v>3.75</v>
      </c>
      <c r="J52" s="18">
        <f t="shared" si="7"/>
        <v>40.5</v>
      </c>
      <c r="K52" s="18">
        <f t="shared" si="7"/>
        <v>19.25</v>
      </c>
      <c r="L52" s="18">
        <f t="shared" si="7"/>
        <v>102</v>
      </c>
      <c r="M52" s="18">
        <f t="shared" si="7"/>
        <v>0</v>
      </c>
      <c r="N52" s="19">
        <f>SUM(B52:M52)</f>
        <v>364.75</v>
      </c>
    </row>
    <row r="54" spans="1:14" ht="27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4" x14ac:dyDescent="0.25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4" x14ac:dyDescent="0.25">
      <c r="A56" s="37" t="s">
        <v>49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9" customHeight="1" x14ac:dyDescent="0.25"/>
    <row r="58" spans="1:14" ht="75" x14ac:dyDescent="0.25">
      <c r="A58" s="1"/>
      <c r="B58" s="2" t="s">
        <v>1</v>
      </c>
      <c r="C58" s="2" t="s">
        <v>2</v>
      </c>
      <c r="D58" s="2" t="s">
        <v>45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7" t="s">
        <v>47</v>
      </c>
    </row>
    <row r="59" spans="1:14" x14ac:dyDescent="0.25">
      <c r="A59" s="31" t="s">
        <v>95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3"/>
      <c r="N59" s="8"/>
    </row>
    <row r="60" spans="1:14" ht="30" x14ac:dyDescent="0.25">
      <c r="A60" s="4" t="s">
        <v>110</v>
      </c>
      <c r="B60" s="3">
        <f t="shared" ref="B60:M60" si="8">(B14+B25+B36+B47)</f>
        <v>88</v>
      </c>
      <c r="C60" s="3">
        <f t="shared" si="8"/>
        <v>86</v>
      </c>
      <c r="D60" s="3">
        <f t="shared" si="8"/>
        <v>39</v>
      </c>
      <c r="E60" s="3">
        <f t="shared" si="8"/>
        <v>16</v>
      </c>
      <c r="F60" s="3">
        <f t="shared" si="8"/>
        <v>16</v>
      </c>
      <c r="G60" s="3">
        <f t="shared" si="8"/>
        <v>3</v>
      </c>
      <c r="H60" s="3">
        <f t="shared" si="8"/>
        <v>1</v>
      </c>
      <c r="I60" s="3">
        <f t="shared" si="8"/>
        <v>3</v>
      </c>
      <c r="J60" s="3">
        <f t="shared" si="8"/>
        <v>17</v>
      </c>
      <c r="K60" s="3">
        <f t="shared" si="8"/>
        <v>4</v>
      </c>
      <c r="L60" s="3">
        <f t="shared" si="8"/>
        <v>8</v>
      </c>
      <c r="M60" s="3">
        <f t="shared" si="8"/>
        <v>0</v>
      </c>
      <c r="N60" s="20">
        <f>SUM(B60:M60)</f>
        <v>281</v>
      </c>
    </row>
    <row r="61" spans="1:14" ht="30" x14ac:dyDescent="0.25">
      <c r="A61" s="4" t="s">
        <v>111</v>
      </c>
      <c r="B61" s="3">
        <f t="shared" ref="B61:M61" si="9">(B15+B26+B37+B48)</f>
        <v>25</v>
      </c>
      <c r="C61" s="3">
        <f t="shared" si="9"/>
        <v>70</v>
      </c>
      <c r="D61" s="3">
        <f t="shared" si="9"/>
        <v>40</v>
      </c>
      <c r="E61" s="3">
        <f t="shared" si="9"/>
        <v>20</v>
      </c>
      <c r="F61" s="3">
        <f t="shared" si="9"/>
        <v>18</v>
      </c>
      <c r="G61" s="3">
        <f t="shared" si="9"/>
        <v>4</v>
      </c>
      <c r="H61" s="3">
        <f t="shared" si="9"/>
        <v>3</v>
      </c>
      <c r="I61" s="3">
        <f t="shared" si="9"/>
        <v>8</v>
      </c>
      <c r="J61" s="3">
        <f t="shared" si="9"/>
        <v>45</v>
      </c>
      <c r="K61" s="3">
        <f t="shared" si="9"/>
        <v>21</v>
      </c>
      <c r="L61" s="3">
        <f t="shared" si="9"/>
        <v>84</v>
      </c>
      <c r="M61" s="3">
        <f t="shared" si="9"/>
        <v>0</v>
      </c>
      <c r="N61" s="20">
        <f>SUM(B61:M61)</f>
        <v>338</v>
      </c>
    </row>
    <row r="62" spans="1:14" ht="30" x14ac:dyDescent="0.25">
      <c r="A62" s="4" t="s">
        <v>112</v>
      </c>
      <c r="B62" s="3">
        <f t="shared" ref="B62:M62" si="10">(B16+B27+B38+B49)</f>
        <v>8</v>
      </c>
      <c r="C62" s="3">
        <f t="shared" si="10"/>
        <v>148</v>
      </c>
      <c r="D62" s="3">
        <f t="shared" si="10"/>
        <v>113</v>
      </c>
      <c r="E62" s="3">
        <f t="shared" si="10"/>
        <v>51</v>
      </c>
      <c r="F62" s="3">
        <f t="shared" si="10"/>
        <v>22</v>
      </c>
      <c r="G62" s="3">
        <f t="shared" si="10"/>
        <v>4</v>
      </c>
      <c r="H62" s="3">
        <f t="shared" si="10"/>
        <v>7</v>
      </c>
      <c r="I62" s="3">
        <f t="shared" si="10"/>
        <v>3</v>
      </c>
      <c r="J62" s="3">
        <f t="shared" si="10"/>
        <v>82</v>
      </c>
      <c r="K62" s="3">
        <f t="shared" si="10"/>
        <v>19</v>
      </c>
      <c r="L62" s="3">
        <f t="shared" si="10"/>
        <v>94</v>
      </c>
      <c r="M62" s="3">
        <f t="shared" si="10"/>
        <v>0</v>
      </c>
      <c r="N62" s="20">
        <f>SUM(B62:M62)</f>
        <v>551</v>
      </c>
    </row>
    <row r="63" spans="1:14" x14ac:dyDescent="0.25">
      <c r="A63" s="10" t="s">
        <v>46</v>
      </c>
      <c r="B63" s="11">
        <f t="shared" ref="B63:M63" si="11">SUM(B60:B62)</f>
        <v>121</v>
      </c>
      <c r="C63" s="11">
        <f t="shared" si="11"/>
        <v>304</v>
      </c>
      <c r="D63" s="11">
        <f t="shared" si="11"/>
        <v>192</v>
      </c>
      <c r="E63" s="11">
        <f t="shared" si="11"/>
        <v>87</v>
      </c>
      <c r="F63" s="11">
        <f t="shared" si="11"/>
        <v>56</v>
      </c>
      <c r="G63" s="11">
        <f t="shared" si="11"/>
        <v>11</v>
      </c>
      <c r="H63" s="11">
        <f t="shared" si="11"/>
        <v>11</v>
      </c>
      <c r="I63" s="11">
        <f t="shared" si="11"/>
        <v>14</v>
      </c>
      <c r="J63" s="11">
        <f t="shared" si="11"/>
        <v>144</v>
      </c>
      <c r="K63" s="11">
        <f t="shared" si="11"/>
        <v>44</v>
      </c>
      <c r="L63" s="11">
        <f t="shared" si="11"/>
        <v>186</v>
      </c>
      <c r="M63" s="11">
        <f t="shared" si="11"/>
        <v>0</v>
      </c>
      <c r="N63" s="11">
        <f>SUM(B63:M63)</f>
        <v>1170</v>
      </c>
    </row>
    <row r="64" spans="1:14" ht="30" x14ac:dyDescent="0.25">
      <c r="A64" s="16" t="s">
        <v>44</v>
      </c>
      <c r="B64" s="17">
        <v>0.5</v>
      </c>
      <c r="C64" s="17">
        <v>1</v>
      </c>
      <c r="D64" s="17">
        <v>1</v>
      </c>
      <c r="E64" s="17">
        <v>1.75</v>
      </c>
      <c r="F64" s="17">
        <v>1.75</v>
      </c>
      <c r="G64" s="17">
        <v>2</v>
      </c>
      <c r="H64" s="17">
        <v>2.5</v>
      </c>
      <c r="I64" s="17">
        <v>1.25</v>
      </c>
      <c r="J64" s="17">
        <v>1.5</v>
      </c>
      <c r="K64" s="17">
        <v>2.75</v>
      </c>
      <c r="L64" s="17">
        <v>3</v>
      </c>
      <c r="M64" s="17">
        <v>2</v>
      </c>
      <c r="N64" s="8"/>
    </row>
    <row r="65" spans="1:14" ht="45" x14ac:dyDescent="0.25">
      <c r="A65" s="9" t="s">
        <v>48</v>
      </c>
      <c r="B65" s="18">
        <f>B63*B64</f>
        <v>60.5</v>
      </c>
      <c r="C65" s="18">
        <f t="shared" ref="C65:M65" si="12">C63*C64</f>
        <v>304</v>
      </c>
      <c r="D65" s="18">
        <f t="shared" si="12"/>
        <v>192</v>
      </c>
      <c r="E65" s="18">
        <f t="shared" si="12"/>
        <v>152.25</v>
      </c>
      <c r="F65" s="18">
        <f t="shared" si="12"/>
        <v>98</v>
      </c>
      <c r="G65" s="18">
        <f t="shared" si="12"/>
        <v>22</v>
      </c>
      <c r="H65" s="18">
        <f t="shared" si="12"/>
        <v>27.5</v>
      </c>
      <c r="I65" s="18">
        <f t="shared" si="12"/>
        <v>17.5</v>
      </c>
      <c r="J65" s="18">
        <f t="shared" si="12"/>
        <v>216</v>
      </c>
      <c r="K65" s="18">
        <f t="shared" si="12"/>
        <v>121</v>
      </c>
      <c r="L65" s="18">
        <f t="shared" si="12"/>
        <v>558</v>
      </c>
      <c r="M65" s="18">
        <f t="shared" si="12"/>
        <v>0</v>
      </c>
      <c r="N65" s="19">
        <f>SUM(B65:M65)</f>
        <v>1768.75</v>
      </c>
    </row>
    <row r="67" spans="1:14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73" spans="1:14" ht="34.5" customHeight="1" x14ac:dyDescent="0.25"/>
    <row r="82" spans="1:13" x14ac:dyDescent="0.25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25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</sheetData>
  <mergeCells count="13">
    <mergeCell ref="A9:N9"/>
    <mergeCell ref="A1:N1"/>
    <mergeCell ref="A3:N3"/>
    <mergeCell ref="A5:N5"/>
    <mergeCell ref="A6:N6"/>
    <mergeCell ref="A7:N7"/>
    <mergeCell ref="A59:M59"/>
    <mergeCell ref="A10:N10"/>
    <mergeCell ref="A13:M13"/>
    <mergeCell ref="A24:M24"/>
    <mergeCell ref="A35:M35"/>
    <mergeCell ref="A46:M46"/>
    <mergeCell ref="A56:N56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84"/>
  <sheetViews>
    <sheetView view="pageBreakPreview" zoomScaleNormal="100" zoomScaleSheetLayoutView="100" workbookViewId="0">
      <selection activeCell="A4" sqref="A4"/>
    </sheetView>
  </sheetViews>
  <sheetFormatPr defaultRowHeight="15" x14ac:dyDescent="0.25"/>
  <cols>
    <col min="1" max="1" width="12.5703125" customWidth="1"/>
  </cols>
  <sheetData>
    <row r="1" spans="1:14" x14ac:dyDescent="0.25">
      <c r="A1" s="30" t="s">
        <v>108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8" t="str">
        <f>'7-8AM'!A3:N3</f>
        <v>ROAD: NAIROBI - MOMBASA (A8) ROAD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9" customHeight="1" x14ac:dyDescent="0.25"/>
    <row r="5" spans="1:14" x14ac:dyDescent="0.25">
      <c r="A5" s="39" t="str">
        <f>'7-8AM'!A5:N5</f>
        <v>SITE: ATHI RIVER AREA, MACHAKOS COUNTY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9" t="str">
        <f>'7-8AM'!A6:N6</f>
        <v>PROJECT: EXISTING COMMERCIAL DEVELOPMENT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x14ac:dyDescent="0.25">
      <c r="A7" s="39" t="str">
        <f>'7-8AM'!A7:N7</f>
        <v>C/O: CRYSTAL RIVERS MALL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7.5" customHeight="1" x14ac:dyDescent="0.25"/>
    <row r="9" spans="1:14" x14ac:dyDescent="0.25">
      <c r="A9" s="35" t="s">
        <v>17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34" t="s">
        <v>43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ht="9" customHeight="1" x14ac:dyDescent="0.25"/>
    <row r="12" spans="1:14" ht="71.25" customHeight="1" x14ac:dyDescent="0.25">
      <c r="A12" s="1" t="s">
        <v>0</v>
      </c>
      <c r="B12" s="2" t="s">
        <v>1</v>
      </c>
      <c r="C12" s="2" t="s">
        <v>2</v>
      </c>
      <c r="D12" s="2" t="s">
        <v>45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7" t="s">
        <v>47</v>
      </c>
    </row>
    <row r="13" spans="1:14" ht="20.25" customHeight="1" x14ac:dyDescent="0.25">
      <c r="A13" s="31" t="s">
        <v>36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8"/>
    </row>
    <row r="14" spans="1:14" ht="28.5" customHeight="1" x14ac:dyDescent="0.25">
      <c r="A14" s="4" t="s">
        <v>110</v>
      </c>
      <c r="B14" s="3">
        <v>24</v>
      </c>
      <c r="C14" s="3">
        <v>14</v>
      </c>
      <c r="D14" s="3">
        <v>7</v>
      </c>
      <c r="E14" s="3">
        <v>2</v>
      </c>
      <c r="F14" s="3">
        <v>1</v>
      </c>
      <c r="G14" s="3">
        <v>0</v>
      </c>
      <c r="H14" s="3">
        <v>0</v>
      </c>
      <c r="I14" s="3">
        <v>0</v>
      </c>
      <c r="J14" s="3">
        <v>4</v>
      </c>
      <c r="K14" s="3">
        <v>0</v>
      </c>
      <c r="L14" s="3">
        <v>1</v>
      </c>
      <c r="M14" s="3">
        <v>1</v>
      </c>
      <c r="N14" s="20">
        <f>SUM(B14:M14)</f>
        <v>54</v>
      </c>
    </row>
    <row r="15" spans="1:14" ht="31.5" customHeight="1" x14ac:dyDescent="0.25">
      <c r="A15" s="4" t="s">
        <v>111</v>
      </c>
      <c r="B15" s="3">
        <v>4</v>
      </c>
      <c r="C15" s="3">
        <v>8</v>
      </c>
      <c r="D15" s="3">
        <v>4</v>
      </c>
      <c r="E15" s="3">
        <v>4</v>
      </c>
      <c r="F15" s="3">
        <v>5</v>
      </c>
      <c r="G15" s="3">
        <v>5</v>
      </c>
      <c r="H15" s="3">
        <v>0</v>
      </c>
      <c r="I15" s="3">
        <v>0</v>
      </c>
      <c r="J15" s="3">
        <v>4</v>
      </c>
      <c r="K15" s="3">
        <v>6</v>
      </c>
      <c r="L15" s="3">
        <v>17</v>
      </c>
      <c r="M15" s="3">
        <v>0</v>
      </c>
      <c r="N15" s="20">
        <f>SUM(B15:M15)</f>
        <v>57</v>
      </c>
    </row>
    <row r="16" spans="1:14" ht="27" customHeight="1" x14ac:dyDescent="0.25">
      <c r="A16" s="4" t="s">
        <v>112</v>
      </c>
      <c r="B16" s="3">
        <v>3</v>
      </c>
      <c r="C16" s="3">
        <v>39</v>
      </c>
      <c r="D16" s="3">
        <v>33</v>
      </c>
      <c r="E16" s="3">
        <v>11</v>
      </c>
      <c r="F16" s="3">
        <v>13</v>
      </c>
      <c r="G16" s="3">
        <v>0</v>
      </c>
      <c r="H16" s="3">
        <v>0</v>
      </c>
      <c r="I16" s="3">
        <v>3</v>
      </c>
      <c r="J16" s="3">
        <v>29</v>
      </c>
      <c r="K16" s="3">
        <v>5</v>
      </c>
      <c r="L16" s="3">
        <v>21</v>
      </c>
      <c r="M16" s="3">
        <v>0</v>
      </c>
      <c r="N16" s="20">
        <f>SUM(B16:M16)</f>
        <v>157</v>
      </c>
    </row>
    <row r="17" spans="1:14" ht="47.25" customHeight="1" x14ac:dyDescent="0.25">
      <c r="A17" s="10" t="s">
        <v>46</v>
      </c>
      <c r="B17" s="11">
        <f t="shared" ref="B17:M17" si="0">SUM(B14:B16)</f>
        <v>31</v>
      </c>
      <c r="C17" s="11">
        <f t="shared" si="0"/>
        <v>61</v>
      </c>
      <c r="D17" s="11">
        <f t="shared" si="0"/>
        <v>44</v>
      </c>
      <c r="E17" s="11">
        <f t="shared" si="0"/>
        <v>17</v>
      </c>
      <c r="F17" s="11">
        <f t="shared" si="0"/>
        <v>19</v>
      </c>
      <c r="G17" s="11">
        <f t="shared" si="0"/>
        <v>5</v>
      </c>
      <c r="H17" s="11">
        <f t="shared" si="0"/>
        <v>0</v>
      </c>
      <c r="I17" s="11">
        <f t="shared" si="0"/>
        <v>3</v>
      </c>
      <c r="J17" s="11">
        <f t="shared" si="0"/>
        <v>37</v>
      </c>
      <c r="K17" s="11">
        <f t="shared" si="0"/>
        <v>11</v>
      </c>
      <c r="L17" s="11">
        <f t="shared" si="0"/>
        <v>39</v>
      </c>
      <c r="M17" s="11">
        <f t="shared" si="0"/>
        <v>1</v>
      </c>
      <c r="N17" s="11">
        <f>SUM(B17:M17)</f>
        <v>268</v>
      </c>
    </row>
    <row r="18" spans="1:14" ht="30" x14ac:dyDescent="0.25">
      <c r="A18" s="16" t="s">
        <v>44</v>
      </c>
      <c r="B18" s="17">
        <v>0.5</v>
      </c>
      <c r="C18" s="17">
        <v>1</v>
      </c>
      <c r="D18" s="17">
        <v>1</v>
      </c>
      <c r="E18" s="17">
        <v>1.75</v>
      </c>
      <c r="F18" s="17">
        <v>1.75</v>
      </c>
      <c r="G18" s="17">
        <v>2</v>
      </c>
      <c r="H18" s="17">
        <v>2.5</v>
      </c>
      <c r="I18" s="17">
        <v>1.25</v>
      </c>
      <c r="J18" s="17">
        <v>1.5</v>
      </c>
      <c r="K18" s="17">
        <v>2.75</v>
      </c>
      <c r="L18" s="17">
        <v>3</v>
      </c>
      <c r="M18" s="17">
        <v>2</v>
      </c>
      <c r="N18" s="8"/>
    </row>
    <row r="19" spans="1:14" ht="45" x14ac:dyDescent="0.25">
      <c r="A19" s="9" t="s">
        <v>48</v>
      </c>
      <c r="B19" s="18">
        <f>B17*B18</f>
        <v>15.5</v>
      </c>
      <c r="C19" s="18">
        <f t="shared" ref="C19:M19" si="1">C17*C18</f>
        <v>61</v>
      </c>
      <c r="D19" s="18">
        <f t="shared" si="1"/>
        <v>44</v>
      </c>
      <c r="E19" s="18">
        <f t="shared" si="1"/>
        <v>29.75</v>
      </c>
      <c r="F19" s="18">
        <f t="shared" si="1"/>
        <v>33.25</v>
      </c>
      <c r="G19" s="18">
        <f t="shared" si="1"/>
        <v>10</v>
      </c>
      <c r="H19" s="18">
        <f t="shared" si="1"/>
        <v>0</v>
      </c>
      <c r="I19" s="18">
        <f t="shared" si="1"/>
        <v>3.75</v>
      </c>
      <c r="J19" s="18">
        <f t="shared" si="1"/>
        <v>55.5</v>
      </c>
      <c r="K19" s="18">
        <f t="shared" si="1"/>
        <v>30.25</v>
      </c>
      <c r="L19" s="18">
        <f t="shared" si="1"/>
        <v>117</v>
      </c>
      <c r="M19" s="18">
        <f t="shared" si="1"/>
        <v>2</v>
      </c>
      <c r="N19" s="19">
        <f>SUM(B19:M19)</f>
        <v>402</v>
      </c>
    </row>
    <row r="20" spans="1:14" x14ac:dyDescent="0.25">
      <c r="A20" s="5"/>
    </row>
    <row r="21" spans="1:14" x14ac:dyDescent="0.25">
      <c r="A21" s="5"/>
    </row>
    <row r="22" spans="1:14" x14ac:dyDescent="0.25">
      <c r="A22" s="5"/>
    </row>
    <row r="23" spans="1:14" ht="75" x14ac:dyDescent="0.25">
      <c r="A23" s="1" t="s">
        <v>0</v>
      </c>
      <c r="B23" s="2" t="s">
        <v>1</v>
      </c>
      <c r="C23" s="2" t="s">
        <v>2</v>
      </c>
      <c r="D23" s="2" t="s">
        <v>45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  <c r="N23" s="7" t="s">
        <v>47</v>
      </c>
    </row>
    <row r="24" spans="1:14" x14ac:dyDescent="0.25">
      <c r="A24" s="31" t="s">
        <v>37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8"/>
    </row>
    <row r="25" spans="1:14" ht="27" customHeight="1" x14ac:dyDescent="0.25">
      <c r="A25" s="4" t="s">
        <v>110</v>
      </c>
      <c r="B25" s="3">
        <v>21</v>
      </c>
      <c r="C25" s="3">
        <v>13</v>
      </c>
      <c r="D25" s="3">
        <v>8</v>
      </c>
      <c r="E25" s="3">
        <v>5</v>
      </c>
      <c r="F25" s="3">
        <v>3</v>
      </c>
      <c r="G25" s="3">
        <v>1</v>
      </c>
      <c r="H25" s="3">
        <v>0</v>
      </c>
      <c r="I25" s="3">
        <v>0</v>
      </c>
      <c r="J25" s="3">
        <v>2</v>
      </c>
      <c r="K25" s="3">
        <v>1</v>
      </c>
      <c r="L25" s="3">
        <v>2</v>
      </c>
      <c r="M25" s="3">
        <v>0</v>
      </c>
      <c r="N25" s="20">
        <f>SUM(B25:M25)</f>
        <v>56</v>
      </c>
    </row>
    <row r="26" spans="1:14" ht="45" x14ac:dyDescent="0.25">
      <c r="A26" s="4" t="s">
        <v>111</v>
      </c>
      <c r="B26" s="3">
        <v>4</v>
      </c>
      <c r="C26" s="3">
        <v>17</v>
      </c>
      <c r="D26" s="3">
        <v>1</v>
      </c>
      <c r="E26" s="3">
        <v>5</v>
      </c>
      <c r="F26" s="3">
        <v>1</v>
      </c>
      <c r="G26" s="3">
        <v>3</v>
      </c>
      <c r="H26" s="3">
        <v>3</v>
      </c>
      <c r="I26" s="3">
        <v>0</v>
      </c>
      <c r="J26" s="3">
        <v>4</v>
      </c>
      <c r="K26" s="3">
        <v>9</v>
      </c>
      <c r="L26" s="3">
        <v>13</v>
      </c>
      <c r="M26" s="3">
        <v>0</v>
      </c>
      <c r="N26" s="20">
        <f>SUM(B26:M26)</f>
        <v>60</v>
      </c>
    </row>
    <row r="27" spans="1:14" ht="45" x14ac:dyDescent="0.25">
      <c r="A27" s="4" t="s">
        <v>112</v>
      </c>
      <c r="B27" s="3">
        <v>5</v>
      </c>
      <c r="C27" s="3">
        <v>37</v>
      </c>
      <c r="D27" s="3">
        <v>17</v>
      </c>
      <c r="E27" s="3">
        <v>10</v>
      </c>
      <c r="F27" s="3">
        <v>7</v>
      </c>
      <c r="G27" s="3">
        <v>1</v>
      </c>
      <c r="H27" s="3">
        <v>0</v>
      </c>
      <c r="I27" s="3">
        <v>1</v>
      </c>
      <c r="J27" s="3">
        <v>15</v>
      </c>
      <c r="K27" s="3">
        <v>8</v>
      </c>
      <c r="L27" s="3">
        <v>19</v>
      </c>
      <c r="M27" s="3">
        <v>0</v>
      </c>
      <c r="N27" s="20">
        <f>SUM(B27:M27)</f>
        <v>120</v>
      </c>
    </row>
    <row r="28" spans="1:14" x14ac:dyDescent="0.25">
      <c r="A28" s="10" t="s">
        <v>46</v>
      </c>
      <c r="B28" s="11">
        <f t="shared" ref="B28:M28" si="2">SUM(B25:B27)</f>
        <v>30</v>
      </c>
      <c r="C28" s="11">
        <f t="shared" si="2"/>
        <v>67</v>
      </c>
      <c r="D28" s="11">
        <f t="shared" si="2"/>
        <v>26</v>
      </c>
      <c r="E28" s="11">
        <f t="shared" si="2"/>
        <v>20</v>
      </c>
      <c r="F28" s="11">
        <f t="shared" si="2"/>
        <v>11</v>
      </c>
      <c r="G28" s="11">
        <f t="shared" si="2"/>
        <v>5</v>
      </c>
      <c r="H28" s="11">
        <f t="shared" si="2"/>
        <v>3</v>
      </c>
      <c r="I28" s="11">
        <f t="shared" si="2"/>
        <v>1</v>
      </c>
      <c r="J28" s="11">
        <f t="shared" si="2"/>
        <v>21</v>
      </c>
      <c r="K28" s="11">
        <f t="shared" si="2"/>
        <v>18</v>
      </c>
      <c r="L28" s="11">
        <f t="shared" si="2"/>
        <v>34</v>
      </c>
      <c r="M28" s="11">
        <f t="shared" si="2"/>
        <v>0</v>
      </c>
      <c r="N28" s="11">
        <f>SUM(B28:M28)</f>
        <v>236</v>
      </c>
    </row>
    <row r="29" spans="1:14" ht="30" x14ac:dyDescent="0.25">
      <c r="A29" s="16" t="s">
        <v>44</v>
      </c>
      <c r="B29" s="17">
        <v>0.5</v>
      </c>
      <c r="C29" s="17">
        <v>1</v>
      </c>
      <c r="D29" s="17">
        <v>1</v>
      </c>
      <c r="E29" s="17">
        <v>1.75</v>
      </c>
      <c r="F29" s="17">
        <v>1.75</v>
      </c>
      <c r="G29" s="17">
        <v>2</v>
      </c>
      <c r="H29" s="17">
        <v>2.5</v>
      </c>
      <c r="I29" s="17">
        <v>1.25</v>
      </c>
      <c r="J29" s="17">
        <v>1.5</v>
      </c>
      <c r="K29" s="17">
        <v>2.75</v>
      </c>
      <c r="L29" s="17">
        <v>3</v>
      </c>
      <c r="M29" s="17">
        <v>2</v>
      </c>
      <c r="N29" s="8"/>
    </row>
    <row r="30" spans="1:14" ht="45" x14ac:dyDescent="0.25">
      <c r="A30" s="9" t="s">
        <v>48</v>
      </c>
      <c r="B30" s="18">
        <f>B28*B29</f>
        <v>15</v>
      </c>
      <c r="C30" s="18">
        <f t="shared" ref="C30:M30" si="3">C28*C29</f>
        <v>67</v>
      </c>
      <c r="D30" s="18">
        <f t="shared" si="3"/>
        <v>26</v>
      </c>
      <c r="E30" s="18">
        <f t="shared" si="3"/>
        <v>35</v>
      </c>
      <c r="F30" s="18">
        <f t="shared" si="3"/>
        <v>19.25</v>
      </c>
      <c r="G30" s="18">
        <f t="shared" si="3"/>
        <v>10</v>
      </c>
      <c r="H30" s="18">
        <f t="shared" si="3"/>
        <v>7.5</v>
      </c>
      <c r="I30" s="18">
        <f t="shared" si="3"/>
        <v>1.25</v>
      </c>
      <c r="J30" s="18">
        <f t="shared" si="3"/>
        <v>31.5</v>
      </c>
      <c r="K30" s="18">
        <f t="shared" si="3"/>
        <v>49.5</v>
      </c>
      <c r="L30" s="18">
        <f t="shared" si="3"/>
        <v>102</v>
      </c>
      <c r="M30" s="18">
        <f t="shared" si="3"/>
        <v>0</v>
      </c>
      <c r="N30" s="19">
        <f>SUM(B30:M30)</f>
        <v>364</v>
      </c>
    </row>
    <row r="31" spans="1:14" x14ac:dyDescent="0.25">
      <c r="A31" s="12"/>
    </row>
    <row r="32" spans="1:14" ht="24.75" customHeight="1" x14ac:dyDescent="0.25">
      <c r="A32" s="12"/>
    </row>
    <row r="33" spans="1:14" x14ac:dyDescent="0.25">
      <c r="A33" s="12"/>
    </row>
    <row r="34" spans="1:14" ht="45" customHeight="1" x14ac:dyDescent="0.25">
      <c r="A34" s="1" t="s">
        <v>0</v>
      </c>
      <c r="B34" s="2" t="s">
        <v>1</v>
      </c>
      <c r="C34" s="2" t="s">
        <v>2</v>
      </c>
      <c r="D34" s="2" t="s">
        <v>45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7" t="s">
        <v>47</v>
      </c>
    </row>
    <row r="35" spans="1:14" ht="30.75" customHeight="1" x14ac:dyDescent="0.25">
      <c r="A35" s="31" t="s">
        <v>54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8"/>
    </row>
    <row r="36" spans="1:14" ht="45" x14ac:dyDescent="0.25">
      <c r="A36" s="4" t="s">
        <v>110</v>
      </c>
      <c r="B36" s="3">
        <v>20</v>
      </c>
      <c r="C36" s="3">
        <v>19</v>
      </c>
      <c r="D36" s="3">
        <v>9</v>
      </c>
      <c r="E36" s="3">
        <v>6</v>
      </c>
      <c r="F36" s="3">
        <v>6</v>
      </c>
      <c r="G36" s="3">
        <v>0</v>
      </c>
      <c r="H36" s="3">
        <v>0</v>
      </c>
      <c r="I36" s="3">
        <v>0</v>
      </c>
      <c r="J36" s="3">
        <v>2</v>
      </c>
      <c r="K36" s="3">
        <v>0</v>
      </c>
      <c r="L36" s="3">
        <v>1</v>
      </c>
      <c r="M36" s="3">
        <v>0</v>
      </c>
      <c r="N36" s="20">
        <f>SUM(B36:M36)</f>
        <v>63</v>
      </c>
    </row>
    <row r="37" spans="1:14" ht="45" x14ac:dyDescent="0.25">
      <c r="A37" s="4" t="s">
        <v>111</v>
      </c>
      <c r="B37" s="3">
        <v>5</v>
      </c>
      <c r="C37" s="3">
        <v>10</v>
      </c>
      <c r="D37" s="3">
        <v>10</v>
      </c>
      <c r="E37" s="3">
        <v>4</v>
      </c>
      <c r="F37" s="3">
        <v>4</v>
      </c>
      <c r="G37" s="3">
        <v>5</v>
      </c>
      <c r="H37" s="3">
        <v>2</v>
      </c>
      <c r="I37" s="3">
        <v>0</v>
      </c>
      <c r="J37" s="3">
        <v>6</v>
      </c>
      <c r="K37" s="3">
        <v>9</v>
      </c>
      <c r="L37" s="3">
        <v>18</v>
      </c>
      <c r="M37" s="3">
        <v>0</v>
      </c>
      <c r="N37" s="20">
        <f>SUM(B37:M37)</f>
        <v>73</v>
      </c>
    </row>
    <row r="38" spans="1:14" ht="45" x14ac:dyDescent="0.25">
      <c r="A38" s="4" t="s">
        <v>112</v>
      </c>
      <c r="B38" s="3">
        <v>2</v>
      </c>
      <c r="C38" s="3">
        <v>17</v>
      </c>
      <c r="D38" s="3">
        <v>9</v>
      </c>
      <c r="E38" s="3">
        <v>5</v>
      </c>
      <c r="F38" s="3">
        <v>2</v>
      </c>
      <c r="G38" s="3">
        <v>3</v>
      </c>
      <c r="H38" s="3">
        <v>0</v>
      </c>
      <c r="I38" s="3">
        <v>0</v>
      </c>
      <c r="J38" s="3">
        <v>4</v>
      </c>
      <c r="K38" s="3">
        <v>4</v>
      </c>
      <c r="L38" s="3">
        <v>10</v>
      </c>
      <c r="M38" s="3">
        <v>0</v>
      </c>
      <c r="N38" s="20">
        <f>SUM(B38:M38)</f>
        <v>56</v>
      </c>
    </row>
    <row r="39" spans="1:14" ht="53.25" customHeight="1" x14ac:dyDescent="0.25">
      <c r="A39" s="10" t="s">
        <v>46</v>
      </c>
      <c r="B39" s="11">
        <f t="shared" ref="B39:M39" si="4">SUM(B36:B38)</f>
        <v>27</v>
      </c>
      <c r="C39" s="11">
        <f t="shared" si="4"/>
        <v>46</v>
      </c>
      <c r="D39" s="11">
        <f t="shared" si="4"/>
        <v>28</v>
      </c>
      <c r="E39" s="11">
        <f t="shared" si="4"/>
        <v>15</v>
      </c>
      <c r="F39" s="11">
        <f t="shared" si="4"/>
        <v>12</v>
      </c>
      <c r="G39" s="11">
        <f t="shared" si="4"/>
        <v>8</v>
      </c>
      <c r="H39" s="11">
        <f t="shared" si="4"/>
        <v>2</v>
      </c>
      <c r="I39" s="11">
        <f t="shared" si="4"/>
        <v>0</v>
      </c>
      <c r="J39" s="11">
        <f t="shared" si="4"/>
        <v>12</v>
      </c>
      <c r="K39" s="11">
        <f t="shared" si="4"/>
        <v>13</v>
      </c>
      <c r="L39" s="11">
        <f t="shared" si="4"/>
        <v>29</v>
      </c>
      <c r="M39" s="11">
        <f t="shared" si="4"/>
        <v>0</v>
      </c>
      <c r="N39" s="11">
        <f>SUM(B39:M39)</f>
        <v>192</v>
      </c>
    </row>
    <row r="40" spans="1:14" ht="30" x14ac:dyDescent="0.25">
      <c r="A40" s="16" t="s">
        <v>44</v>
      </c>
      <c r="B40" s="17">
        <v>0.5</v>
      </c>
      <c r="C40" s="17">
        <v>1</v>
      </c>
      <c r="D40" s="17">
        <v>1</v>
      </c>
      <c r="E40" s="17">
        <v>1.75</v>
      </c>
      <c r="F40" s="17">
        <v>1.75</v>
      </c>
      <c r="G40" s="17">
        <v>2</v>
      </c>
      <c r="H40" s="17">
        <v>2.5</v>
      </c>
      <c r="I40" s="17">
        <v>1.25</v>
      </c>
      <c r="J40" s="17">
        <v>1.5</v>
      </c>
      <c r="K40" s="17">
        <v>2.75</v>
      </c>
      <c r="L40" s="17">
        <v>3</v>
      </c>
      <c r="M40" s="17">
        <v>2</v>
      </c>
      <c r="N40" s="8"/>
    </row>
    <row r="41" spans="1:14" ht="45" x14ac:dyDescent="0.25">
      <c r="A41" s="9" t="s">
        <v>48</v>
      </c>
      <c r="B41" s="18">
        <f>B39*B40</f>
        <v>13.5</v>
      </c>
      <c r="C41" s="18">
        <f t="shared" ref="C41:M41" si="5">C39*C40</f>
        <v>46</v>
      </c>
      <c r="D41" s="18">
        <f t="shared" si="5"/>
        <v>28</v>
      </c>
      <c r="E41" s="18">
        <f t="shared" si="5"/>
        <v>26.25</v>
      </c>
      <c r="F41" s="18">
        <f t="shared" si="5"/>
        <v>21</v>
      </c>
      <c r="G41" s="18">
        <f t="shared" si="5"/>
        <v>16</v>
      </c>
      <c r="H41" s="18">
        <f t="shared" si="5"/>
        <v>5</v>
      </c>
      <c r="I41" s="18">
        <f t="shared" si="5"/>
        <v>0</v>
      </c>
      <c r="J41" s="18">
        <f t="shared" si="5"/>
        <v>18</v>
      </c>
      <c r="K41" s="18">
        <f t="shared" si="5"/>
        <v>35.75</v>
      </c>
      <c r="L41" s="18">
        <f t="shared" si="5"/>
        <v>87</v>
      </c>
      <c r="M41" s="18">
        <f t="shared" si="5"/>
        <v>0</v>
      </c>
      <c r="N41" s="19">
        <f>SUM(B41:M41)</f>
        <v>296.5</v>
      </c>
    </row>
    <row r="42" spans="1:14" ht="32.25" customHeight="1" x14ac:dyDescent="0.25"/>
    <row r="43" spans="1:14" ht="27.75" customHeight="1" x14ac:dyDescent="0.25"/>
    <row r="45" spans="1:14" ht="62.25" customHeight="1" x14ac:dyDescent="0.25">
      <c r="A45" s="1" t="s">
        <v>0</v>
      </c>
      <c r="B45" s="2" t="s">
        <v>1</v>
      </c>
      <c r="C45" s="2" t="s">
        <v>2</v>
      </c>
      <c r="D45" s="2" t="s">
        <v>45</v>
      </c>
      <c r="E45" s="2" t="s">
        <v>3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8</v>
      </c>
      <c r="K45" s="2" t="s">
        <v>9</v>
      </c>
      <c r="L45" s="2" t="s">
        <v>10</v>
      </c>
      <c r="M45" s="2" t="s">
        <v>11</v>
      </c>
      <c r="N45" s="7" t="s">
        <v>47</v>
      </c>
    </row>
    <row r="46" spans="1:14" ht="21.75" customHeight="1" x14ac:dyDescent="0.25">
      <c r="A46" s="31" t="s">
        <v>38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8"/>
    </row>
    <row r="47" spans="1:14" ht="26.25" customHeight="1" x14ac:dyDescent="0.25">
      <c r="A47" s="4" t="s">
        <v>110</v>
      </c>
      <c r="B47" s="3">
        <v>29</v>
      </c>
      <c r="C47" s="3">
        <v>23</v>
      </c>
      <c r="D47" s="3">
        <v>10</v>
      </c>
      <c r="E47" s="3">
        <v>2</v>
      </c>
      <c r="F47" s="3">
        <v>6</v>
      </c>
      <c r="G47" s="3">
        <v>3</v>
      </c>
      <c r="H47" s="3">
        <v>0</v>
      </c>
      <c r="I47" s="3">
        <v>0</v>
      </c>
      <c r="J47" s="3">
        <v>2</v>
      </c>
      <c r="K47" s="3">
        <v>0</v>
      </c>
      <c r="L47" s="3">
        <v>1</v>
      </c>
      <c r="M47" s="3">
        <v>0</v>
      </c>
      <c r="N47" s="20">
        <f>SUM(B47:M47)</f>
        <v>76</v>
      </c>
    </row>
    <row r="48" spans="1:14" ht="45" x14ac:dyDescent="0.25">
      <c r="A48" s="4" t="s">
        <v>111</v>
      </c>
      <c r="B48" s="3">
        <v>3</v>
      </c>
      <c r="C48" s="3">
        <v>16</v>
      </c>
      <c r="D48" s="3">
        <v>14</v>
      </c>
      <c r="E48" s="3">
        <v>4</v>
      </c>
      <c r="F48" s="3">
        <v>3</v>
      </c>
      <c r="G48" s="3">
        <v>2</v>
      </c>
      <c r="H48" s="3">
        <v>0</v>
      </c>
      <c r="I48" s="3">
        <v>0</v>
      </c>
      <c r="J48" s="3">
        <v>13</v>
      </c>
      <c r="K48" s="3">
        <v>4</v>
      </c>
      <c r="L48" s="3">
        <v>24</v>
      </c>
      <c r="M48" s="3">
        <v>0</v>
      </c>
      <c r="N48" s="20">
        <f>SUM(B48:M48)</f>
        <v>83</v>
      </c>
    </row>
    <row r="49" spans="1:14" ht="28.5" customHeight="1" x14ac:dyDescent="0.25">
      <c r="A49" s="4" t="s">
        <v>112</v>
      </c>
      <c r="B49" s="3">
        <v>1</v>
      </c>
      <c r="C49" s="3">
        <v>19</v>
      </c>
      <c r="D49" s="3">
        <v>13</v>
      </c>
      <c r="E49" s="3">
        <v>10</v>
      </c>
      <c r="F49" s="3">
        <v>4</v>
      </c>
      <c r="G49" s="3">
        <v>0</v>
      </c>
      <c r="H49" s="3">
        <v>0</v>
      </c>
      <c r="I49" s="3">
        <v>0</v>
      </c>
      <c r="J49" s="3">
        <v>6</v>
      </c>
      <c r="K49" s="3">
        <v>1</v>
      </c>
      <c r="L49" s="3">
        <v>14</v>
      </c>
      <c r="M49" s="3">
        <v>0</v>
      </c>
      <c r="N49" s="20">
        <f>SUM(B49:M49)</f>
        <v>68</v>
      </c>
    </row>
    <row r="50" spans="1:14" x14ac:dyDescent="0.25">
      <c r="A50" s="10" t="s">
        <v>46</v>
      </c>
      <c r="B50" s="11">
        <f t="shared" ref="B50:M50" si="6">SUM(B47:B49)</f>
        <v>33</v>
      </c>
      <c r="C50" s="11">
        <f t="shared" si="6"/>
        <v>58</v>
      </c>
      <c r="D50" s="11">
        <f t="shared" si="6"/>
        <v>37</v>
      </c>
      <c r="E50" s="11">
        <f t="shared" si="6"/>
        <v>16</v>
      </c>
      <c r="F50" s="11">
        <f t="shared" si="6"/>
        <v>13</v>
      </c>
      <c r="G50" s="11">
        <f t="shared" si="6"/>
        <v>5</v>
      </c>
      <c r="H50" s="11">
        <f t="shared" si="6"/>
        <v>0</v>
      </c>
      <c r="I50" s="11">
        <f t="shared" si="6"/>
        <v>0</v>
      </c>
      <c r="J50" s="11">
        <f t="shared" si="6"/>
        <v>21</v>
      </c>
      <c r="K50" s="11">
        <f t="shared" si="6"/>
        <v>5</v>
      </c>
      <c r="L50" s="11">
        <f t="shared" si="6"/>
        <v>39</v>
      </c>
      <c r="M50" s="11">
        <f t="shared" si="6"/>
        <v>0</v>
      </c>
      <c r="N50" s="11">
        <f>SUM(B50:M50)</f>
        <v>227</v>
      </c>
    </row>
    <row r="51" spans="1:14" ht="30" x14ac:dyDescent="0.25">
      <c r="A51" s="16" t="s">
        <v>44</v>
      </c>
      <c r="B51" s="17">
        <v>0.5</v>
      </c>
      <c r="C51" s="17">
        <v>1</v>
      </c>
      <c r="D51" s="17">
        <v>1</v>
      </c>
      <c r="E51" s="17">
        <v>1.75</v>
      </c>
      <c r="F51" s="17">
        <v>1.75</v>
      </c>
      <c r="G51" s="17">
        <v>2</v>
      </c>
      <c r="H51" s="17">
        <v>2.5</v>
      </c>
      <c r="I51" s="17">
        <v>1.25</v>
      </c>
      <c r="J51" s="17">
        <v>1.5</v>
      </c>
      <c r="K51" s="17">
        <v>2.75</v>
      </c>
      <c r="L51" s="17">
        <v>3</v>
      </c>
      <c r="M51" s="17">
        <v>2</v>
      </c>
      <c r="N51" s="8"/>
    </row>
    <row r="52" spans="1:14" ht="45" x14ac:dyDescent="0.25">
      <c r="A52" s="9" t="s">
        <v>48</v>
      </c>
      <c r="B52" s="18">
        <f>B50*B51</f>
        <v>16.5</v>
      </c>
      <c r="C52" s="18">
        <f t="shared" ref="C52:M52" si="7">C50*C51</f>
        <v>58</v>
      </c>
      <c r="D52" s="18">
        <f t="shared" si="7"/>
        <v>37</v>
      </c>
      <c r="E52" s="18">
        <f t="shared" si="7"/>
        <v>28</v>
      </c>
      <c r="F52" s="18">
        <f t="shared" si="7"/>
        <v>22.75</v>
      </c>
      <c r="G52" s="18">
        <f t="shared" si="7"/>
        <v>10</v>
      </c>
      <c r="H52" s="18">
        <f t="shared" si="7"/>
        <v>0</v>
      </c>
      <c r="I52" s="18">
        <f t="shared" si="7"/>
        <v>0</v>
      </c>
      <c r="J52" s="18">
        <f t="shared" si="7"/>
        <v>31.5</v>
      </c>
      <c r="K52" s="18">
        <f t="shared" si="7"/>
        <v>13.75</v>
      </c>
      <c r="L52" s="18">
        <f t="shared" si="7"/>
        <v>117</v>
      </c>
      <c r="M52" s="18">
        <f t="shared" si="7"/>
        <v>0</v>
      </c>
      <c r="N52" s="19">
        <f>SUM(B52:M52)</f>
        <v>334.5</v>
      </c>
    </row>
    <row r="54" spans="1:14" ht="27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4" x14ac:dyDescent="0.25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4" x14ac:dyDescent="0.25">
      <c r="A56" s="37" t="s">
        <v>49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9" customHeight="1" x14ac:dyDescent="0.25"/>
    <row r="58" spans="1:14" ht="75" x14ac:dyDescent="0.25">
      <c r="A58" s="1"/>
      <c r="B58" s="2" t="s">
        <v>1</v>
      </c>
      <c r="C58" s="2" t="s">
        <v>2</v>
      </c>
      <c r="D58" s="2" t="s">
        <v>45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7" t="s">
        <v>47</v>
      </c>
    </row>
    <row r="59" spans="1:14" x14ac:dyDescent="0.25">
      <c r="A59" s="31" t="s">
        <v>96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3"/>
      <c r="N59" s="8"/>
    </row>
    <row r="60" spans="1:14" ht="45" x14ac:dyDescent="0.25">
      <c r="A60" s="4" t="s">
        <v>110</v>
      </c>
      <c r="B60" s="3">
        <f t="shared" ref="B60:M60" si="8">(B14+B25+B36+B47)</f>
        <v>94</v>
      </c>
      <c r="C60" s="3">
        <f t="shared" si="8"/>
        <v>69</v>
      </c>
      <c r="D60" s="3">
        <f t="shared" si="8"/>
        <v>34</v>
      </c>
      <c r="E60" s="3">
        <f t="shared" si="8"/>
        <v>15</v>
      </c>
      <c r="F60" s="3">
        <f t="shared" si="8"/>
        <v>16</v>
      </c>
      <c r="G60" s="3">
        <f t="shared" si="8"/>
        <v>4</v>
      </c>
      <c r="H60" s="3">
        <f t="shared" si="8"/>
        <v>0</v>
      </c>
      <c r="I60" s="3">
        <f t="shared" si="8"/>
        <v>0</v>
      </c>
      <c r="J60" s="3">
        <f t="shared" si="8"/>
        <v>10</v>
      </c>
      <c r="K60" s="3">
        <f t="shared" si="8"/>
        <v>1</v>
      </c>
      <c r="L60" s="3">
        <f t="shared" si="8"/>
        <v>5</v>
      </c>
      <c r="M60" s="3">
        <f t="shared" si="8"/>
        <v>1</v>
      </c>
      <c r="N60" s="20">
        <f>SUM(B60:M60)</f>
        <v>249</v>
      </c>
    </row>
    <row r="61" spans="1:14" ht="45" x14ac:dyDescent="0.25">
      <c r="A61" s="4" t="s">
        <v>111</v>
      </c>
      <c r="B61" s="3">
        <f t="shared" ref="B61:M61" si="9">(B15+B26+B37+B48)</f>
        <v>16</v>
      </c>
      <c r="C61" s="3">
        <f t="shared" si="9"/>
        <v>51</v>
      </c>
      <c r="D61" s="3">
        <f t="shared" si="9"/>
        <v>29</v>
      </c>
      <c r="E61" s="3">
        <f t="shared" si="9"/>
        <v>17</v>
      </c>
      <c r="F61" s="3">
        <f t="shared" si="9"/>
        <v>13</v>
      </c>
      <c r="G61" s="3">
        <f t="shared" si="9"/>
        <v>15</v>
      </c>
      <c r="H61" s="3">
        <f t="shared" si="9"/>
        <v>5</v>
      </c>
      <c r="I61" s="3">
        <f t="shared" si="9"/>
        <v>0</v>
      </c>
      <c r="J61" s="3">
        <f t="shared" si="9"/>
        <v>27</v>
      </c>
      <c r="K61" s="3">
        <f t="shared" si="9"/>
        <v>28</v>
      </c>
      <c r="L61" s="3">
        <f t="shared" si="9"/>
        <v>72</v>
      </c>
      <c r="M61" s="3">
        <f t="shared" si="9"/>
        <v>0</v>
      </c>
      <c r="N61" s="20">
        <f>SUM(B61:M61)</f>
        <v>273</v>
      </c>
    </row>
    <row r="62" spans="1:14" ht="45" x14ac:dyDescent="0.25">
      <c r="A62" s="4" t="s">
        <v>112</v>
      </c>
      <c r="B62" s="3">
        <f t="shared" ref="B62:M62" si="10">(B16+B27+B38+B49)</f>
        <v>11</v>
      </c>
      <c r="C62" s="3">
        <f t="shared" si="10"/>
        <v>112</v>
      </c>
      <c r="D62" s="3">
        <f t="shared" si="10"/>
        <v>72</v>
      </c>
      <c r="E62" s="3">
        <f t="shared" si="10"/>
        <v>36</v>
      </c>
      <c r="F62" s="3">
        <f t="shared" si="10"/>
        <v>26</v>
      </c>
      <c r="G62" s="3">
        <f t="shared" si="10"/>
        <v>4</v>
      </c>
      <c r="H62" s="3">
        <f t="shared" si="10"/>
        <v>0</v>
      </c>
      <c r="I62" s="3">
        <f t="shared" si="10"/>
        <v>4</v>
      </c>
      <c r="J62" s="3">
        <f t="shared" si="10"/>
        <v>54</v>
      </c>
      <c r="K62" s="3">
        <f t="shared" si="10"/>
        <v>18</v>
      </c>
      <c r="L62" s="3">
        <f t="shared" si="10"/>
        <v>64</v>
      </c>
      <c r="M62" s="3">
        <f t="shared" si="10"/>
        <v>0</v>
      </c>
      <c r="N62" s="20">
        <f>SUM(B62:M62)</f>
        <v>401</v>
      </c>
    </row>
    <row r="63" spans="1:14" x14ac:dyDescent="0.25">
      <c r="A63" s="10" t="s">
        <v>46</v>
      </c>
      <c r="B63" s="11">
        <f t="shared" ref="B63:M63" si="11">SUM(B60:B62)</f>
        <v>121</v>
      </c>
      <c r="C63" s="11">
        <f t="shared" si="11"/>
        <v>232</v>
      </c>
      <c r="D63" s="11">
        <f t="shared" si="11"/>
        <v>135</v>
      </c>
      <c r="E63" s="11">
        <f t="shared" si="11"/>
        <v>68</v>
      </c>
      <c r="F63" s="11">
        <f t="shared" si="11"/>
        <v>55</v>
      </c>
      <c r="G63" s="11">
        <f t="shared" si="11"/>
        <v>23</v>
      </c>
      <c r="H63" s="11">
        <f t="shared" si="11"/>
        <v>5</v>
      </c>
      <c r="I63" s="11">
        <f t="shared" si="11"/>
        <v>4</v>
      </c>
      <c r="J63" s="11">
        <f t="shared" si="11"/>
        <v>91</v>
      </c>
      <c r="K63" s="11">
        <f t="shared" si="11"/>
        <v>47</v>
      </c>
      <c r="L63" s="11">
        <f t="shared" si="11"/>
        <v>141</v>
      </c>
      <c r="M63" s="11">
        <f t="shared" si="11"/>
        <v>1</v>
      </c>
      <c r="N63" s="11">
        <f>SUM(B63:M63)</f>
        <v>923</v>
      </c>
    </row>
    <row r="64" spans="1:14" ht="30" x14ac:dyDescent="0.25">
      <c r="A64" s="16" t="s">
        <v>44</v>
      </c>
      <c r="B64" s="17">
        <v>0.5</v>
      </c>
      <c r="C64" s="17">
        <v>1</v>
      </c>
      <c r="D64" s="17">
        <v>1</v>
      </c>
      <c r="E64" s="17">
        <v>1.75</v>
      </c>
      <c r="F64" s="17">
        <v>1.75</v>
      </c>
      <c r="G64" s="17">
        <v>2</v>
      </c>
      <c r="H64" s="17">
        <v>2.5</v>
      </c>
      <c r="I64" s="17">
        <v>1.25</v>
      </c>
      <c r="J64" s="17">
        <v>1.5</v>
      </c>
      <c r="K64" s="17">
        <v>2.75</v>
      </c>
      <c r="L64" s="17">
        <v>3</v>
      </c>
      <c r="M64" s="17">
        <v>2</v>
      </c>
      <c r="N64" s="8"/>
    </row>
    <row r="65" spans="1:14" ht="45" x14ac:dyDescent="0.25">
      <c r="A65" s="9" t="s">
        <v>48</v>
      </c>
      <c r="B65" s="18">
        <f>B63*B64</f>
        <v>60.5</v>
      </c>
      <c r="C65" s="18">
        <f t="shared" ref="C65:M65" si="12">C63*C64</f>
        <v>232</v>
      </c>
      <c r="D65" s="18">
        <f t="shared" si="12"/>
        <v>135</v>
      </c>
      <c r="E65" s="18">
        <f t="shared" si="12"/>
        <v>119</v>
      </c>
      <c r="F65" s="18">
        <f t="shared" si="12"/>
        <v>96.25</v>
      </c>
      <c r="G65" s="18">
        <f t="shared" si="12"/>
        <v>46</v>
      </c>
      <c r="H65" s="18">
        <f t="shared" si="12"/>
        <v>12.5</v>
      </c>
      <c r="I65" s="18">
        <f t="shared" si="12"/>
        <v>5</v>
      </c>
      <c r="J65" s="18">
        <f t="shared" si="12"/>
        <v>136.5</v>
      </c>
      <c r="K65" s="18">
        <f t="shared" si="12"/>
        <v>129.25</v>
      </c>
      <c r="L65" s="18">
        <f t="shared" si="12"/>
        <v>423</v>
      </c>
      <c r="M65" s="18">
        <f t="shared" si="12"/>
        <v>2</v>
      </c>
      <c r="N65" s="19">
        <f>SUM(B65:M65)</f>
        <v>1397</v>
      </c>
    </row>
    <row r="67" spans="1:14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73" spans="1:14" ht="34.5" customHeight="1" x14ac:dyDescent="0.25"/>
    <row r="82" spans="1:13" x14ac:dyDescent="0.25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25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</sheetData>
  <mergeCells count="13">
    <mergeCell ref="A9:N9"/>
    <mergeCell ref="A1:N1"/>
    <mergeCell ref="A3:N3"/>
    <mergeCell ref="A5:N5"/>
    <mergeCell ref="A6:N6"/>
    <mergeCell ref="A7:N7"/>
    <mergeCell ref="A59:M59"/>
    <mergeCell ref="A10:N10"/>
    <mergeCell ref="A13:M13"/>
    <mergeCell ref="A24:M24"/>
    <mergeCell ref="A35:M35"/>
    <mergeCell ref="A46:M46"/>
    <mergeCell ref="A56:N56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84"/>
  <sheetViews>
    <sheetView view="pageBreakPreview" zoomScaleNormal="100" zoomScaleSheetLayoutView="100" workbookViewId="0">
      <selection activeCell="A4" sqref="A4"/>
    </sheetView>
  </sheetViews>
  <sheetFormatPr defaultRowHeight="15" x14ac:dyDescent="0.25"/>
  <cols>
    <col min="1" max="1" width="12.5703125" customWidth="1"/>
  </cols>
  <sheetData>
    <row r="1" spans="1:14" x14ac:dyDescent="0.25">
      <c r="A1" s="30" t="s">
        <v>109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8" t="str">
        <f>'7-8AM'!A3:N3</f>
        <v>ROAD: NAIROBI - MOMBASA (A8) ROAD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9" customHeight="1" x14ac:dyDescent="0.25"/>
    <row r="5" spans="1:14" x14ac:dyDescent="0.25">
      <c r="A5" s="39" t="str">
        <f>'7-8AM'!A5:N5</f>
        <v>SITE: ATHI RIVER AREA, MACHAKOS COUNTY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9" t="str">
        <f>'7-8AM'!A6:N6</f>
        <v>PROJECT: EXISTING COMMERCIAL DEVELOPMENT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x14ac:dyDescent="0.25">
      <c r="A7" s="39" t="str">
        <f>'7-8AM'!A7:N7</f>
        <v>C/O: CRYSTAL RIVERS MALL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7.5" customHeight="1" x14ac:dyDescent="0.25"/>
    <row r="9" spans="1:14" x14ac:dyDescent="0.25">
      <c r="A9" s="35" t="s">
        <v>17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34" t="s">
        <v>43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ht="9" customHeight="1" x14ac:dyDescent="0.25"/>
    <row r="12" spans="1:14" ht="71.25" customHeight="1" x14ac:dyDescent="0.25">
      <c r="A12" s="1" t="s">
        <v>0</v>
      </c>
      <c r="B12" s="2" t="s">
        <v>1</v>
      </c>
      <c r="C12" s="2" t="s">
        <v>2</v>
      </c>
      <c r="D12" s="2" t="s">
        <v>45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7" t="s">
        <v>47</v>
      </c>
    </row>
    <row r="13" spans="1:14" ht="20.25" customHeight="1" x14ac:dyDescent="0.25">
      <c r="A13" s="31" t="s">
        <v>39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8"/>
    </row>
    <row r="14" spans="1:14" ht="28.5" customHeight="1" x14ac:dyDescent="0.25">
      <c r="A14" s="4" t="s">
        <v>110</v>
      </c>
      <c r="B14" s="3">
        <v>15</v>
      </c>
      <c r="C14" s="3">
        <v>25</v>
      </c>
      <c r="D14" s="3">
        <v>10</v>
      </c>
      <c r="E14" s="3">
        <v>4</v>
      </c>
      <c r="F14" s="3">
        <v>1</v>
      </c>
      <c r="G14" s="3">
        <v>0</v>
      </c>
      <c r="H14" s="3">
        <v>0</v>
      </c>
      <c r="I14" s="3">
        <v>0</v>
      </c>
      <c r="J14" s="3">
        <v>3</v>
      </c>
      <c r="K14" s="3">
        <v>1</v>
      </c>
      <c r="L14" s="3">
        <v>0</v>
      </c>
      <c r="M14" s="3">
        <v>0</v>
      </c>
      <c r="N14" s="20">
        <f>SUM(B14:M14)</f>
        <v>59</v>
      </c>
    </row>
    <row r="15" spans="1:14" ht="31.5" customHeight="1" x14ac:dyDescent="0.25">
      <c r="A15" s="4" t="s">
        <v>111</v>
      </c>
      <c r="B15" s="3">
        <v>9</v>
      </c>
      <c r="C15" s="3">
        <v>9</v>
      </c>
      <c r="D15" s="3">
        <v>18</v>
      </c>
      <c r="E15" s="3">
        <v>3</v>
      </c>
      <c r="F15" s="3">
        <v>2</v>
      </c>
      <c r="G15" s="3">
        <v>0</v>
      </c>
      <c r="H15" s="3">
        <v>0</v>
      </c>
      <c r="I15" s="3">
        <v>0</v>
      </c>
      <c r="J15" s="3">
        <v>1</v>
      </c>
      <c r="K15" s="3">
        <v>7</v>
      </c>
      <c r="L15" s="3">
        <v>25</v>
      </c>
      <c r="M15" s="3">
        <v>0</v>
      </c>
      <c r="N15" s="20">
        <f>SUM(B15:M15)</f>
        <v>74</v>
      </c>
    </row>
    <row r="16" spans="1:14" ht="27" customHeight="1" x14ac:dyDescent="0.25">
      <c r="A16" s="4" t="s">
        <v>112</v>
      </c>
      <c r="B16" s="3">
        <v>2</v>
      </c>
      <c r="C16" s="3">
        <v>23</v>
      </c>
      <c r="D16" s="3">
        <v>10</v>
      </c>
      <c r="E16" s="3">
        <v>7</v>
      </c>
      <c r="F16" s="3">
        <v>3</v>
      </c>
      <c r="G16" s="3">
        <v>1</v>
      </c>
      <c r="H16" s="3">
        <v>2</v>
      </c>
      <c r="I16" s="3">
        <v>2</v>
      </c>
      <c r="J16" s="3">
        <v>6</v>
      </c>
      <c r="K16" s="3">
        <v>4</v>
      </c>
      <c r="L16" s="3">
        <v>16</v>
      </c>
      <c r="M16" s="3">
        <v>0</v>
      </c>
      <c r="N16" s="20">
        <f>SUM(B16:M16)</f>
        <v>76</v>
      </c>
    </row>
    <row r="17" spans="1:14" ht="47.25" customHeight="1" x14ac:dyDescent="0.25">
      <c r="A17" s="10" t="s">
        <v>46</v>
      </c>
      <c r="B17" s="11">
        <f t="shared" ref="B17:M17" si="0">SUM(B14:B16)</f>
        <v>26</v>
      </c>
      <c r="C17" s="11">
        <f t="shared" si="0"/>
        <v>57</v>
      </c>
      <c r="D17" s="11">
        <f t="shared" si="0"/>
        <v>38</v>
      </c>
      <c r="E17" s="11">
        <f t="shared" si="0"/>
        <v>14</v>
      </c>
      <c r="F17" s="11">
        <f t="shared" si="0"/>
        <v>6</v>
      </c>
      <c r="G17" s="11">
        <f t="shared" si="0"/>
        <v>1</v>
      </c>
      <c r="H17" s="11">
        <f t="shared" si="0"/>
        <v>2</v>
      </c>
      <c r="I17" s="11">
        <f t="shared" si="0"/>
        <v>2</v>
      </c>
      <c r="J17" s="11">
        <f t="shared" si="0"/>
        <v>10</v>
      </c>
      <c r="K17" s="11">
        <f t="shared" si="0"/>
        <v>12</v>
      </c>
      <c r="L17" s="11">
        <f t="shared" si="0"/>
        <v>41</v>
      </c>
      <c r="M17" s="11">
        <f t="shared" si="0"/>
        <v>0</v>
      </c>
      <c r="N17" s="11">
        <f>SUM(B17:M17)</f>
        <v>209</v>
      </c>
    </row>
    <row r="18" spans="1:14" ht="30" x14ac:dyDescent="0.25">
      <c r="A18" s="16" t="s">
        <v>44</v>
      </c>
      <c r="B18" s="17">
        <v>0.5</v>
      </c>
      <c r="C18" s="17">
        <v>1</v>
      </c>
      <c r="D18" s="17">
        <v>1</v>
      </c>
      <c r="E18" s="17">
        <v>1.75</v>
      </c>
      <c r="F18" s="17">
        <v>1.75</v>
      </c>
      <c r="G18" s="17">
        <v>2</v>
      </c>
      <c r="H18" s="17">
        <v>2.5</v>
      </c>
      <c r="I18" s="17">
        <v>1.25</v>
      </c>
      <c r="J18" s="17">
        <v>1.5</v>
      </c>
      <c r="K18" s="17">
        <v>2.75</v>
      </c>
      <c r="L18" s="17">
        <v>3</v>
      </c>
      <c r="M18" s="17">
        <v>2</v>
      </c>
      <c r="N18" s="8"/>
    </row>
    <row r="19" spans="1:14" ht="45" x14ac:dyDescent="0.25">
      <c r="A19" s="9" t="s">
        <v>48</v>
      </c>
      <c r="B19" s="18">
        <f>B17*B18</f>
        <v>13</v>
      </c>
      <c r="C19" s="18">
        <f t="shared" ref="C19:M19" si="1">C17*C18</f>
        <v>57</v>
      </c>
      <c r="D19" s="18">
        <f t="shared" si="1"/>
        <v>38</v>
      </c>
      <c r="E19" s="18">
        <f t="shared" si="1"/>
        <v>24.5</v>
      </c>
      <c r="F19" s="18">
        <f t="shared" si="1"/>
        <v>10.5</v>
      </c>
      <c r="G19" s="18">
        <f t="shared" si="1"/>
        <v>2</v>
      </c>
      <c r="H19" s="18">
        <f t="shared" si="1"/>
        <v>5</v>
      </c>
      <c r="I19" s="18">
        <f t="shared" si="1"/>
        <v>2.5</v>
      </c>
      <c r="J19" s="18">
        <f t="shared" si="1"/>
        <v>15</v>
      </c>
      <c r="K19" s="18">
        <f t="shared" si="1"/>
        <v>33</v>
      </c>
      <c r="L19" s="18">
        <f t="shared" si="1"/>
        <v>123</v>
      </c>
      <c r="M19" s="18">
        <f t="shared" si="1"/>
        <v>0</v>
      </c>
      <c r="N19" s="19">
        <f>SUM(B19:M19)</f>
        <v>323.5</v>
      </c>
    </row>
    <row r="20" spans="1:14" x14ac:dyDescent="0.25">
      <c r="A20" s="5"/>
    </row>
    <row r="21" spans="1:14" x14ac:dyDescent="0.25">
      <c r="A21" s="5"/>
    </row>
    <row r="22" spans="1:14" x14ac:dyDescent="0.25">
      <c r="A22" s="5"/>
    </row>
    <row r="23" spans="1:14" ht="75" x14ac:dyDescent="0.25">
      <c r="A23" s="1" t="s">
        <v>0</v>
      </c>
      <c r="B23" s="2" t="s">
        <v>1</v>
      </c>
      <c r="C23" s="2" t="s">
        <v>2</v>
      </c>
      <c r="D23" s="2" t="s">
        <v>45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  <c r="N23" s="7" t="s">
        <v>47</v>
      </c>
    </row>
    <row r="24" spans="1:14" x14ac:dyDescent="0.25">
      <c r="A24" s="31" t="s">
        <v>40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8"/>
    </row>
    <row r="25" spans="1:14" ht="27" customHeight="1" x14ac:dyDescent="0.25">
      <c r="A25" s="4" t="s">
        <v>110</v>
      </c>
      <c r="B25" s="3">
        <v>29</v>
      </c>
      <c r="C25" s="3">
        <v>22</v>
      </c>
      <c r="D25" s="3">
        <v>14</v>
      </c>
      <c r="E25" s="3">
        <v>4</v>
      </c>
      <c r="F25" s="3">
        <v>4</v>
      </c>
      <c r="G25" s="3">
        <v>0</v>
      </c>
      <c r="H25" s="3">
        <v>0</v>
      </c>
      <c r="I25" s="3">
        <v>1</v>
      </c>
      <c r="J25" s="3">
        <v>4</v>
      </c>
      <c r="K25" s="3">
        <v>1</v>
      </c>
      <c r="L25" s="3">
        <v>0</v>
      </c>
      <c r="M25" s="3">
        <v>0</v>
      </c>
      <c r="N25" s="20">
        <f>SUM(B25:M25)</f>
        <v>79</v>
      </c>
    </row>
    <row r="26" spans="1:14" ht="45" x14ac:dyDescent="0.25">
      <c r="A26" s="4" t="s">
        <v>111</v>
      </c>
      <c r="B26" s="3">
        <v>10</v>
      </c>
      <c r="C26" s="3">
        <v>38</v>
      </c>
      <c r="D26" s="3">
        <v>16</v>
      </c>
      <c r="E26" s="3">
        <v>11</v>
      </c>
      <c r="F26" s="3">
        <v>6</v>
      </c>
      <c r="G26" s="3">
        <v>2</v>
      </c>
      <c r="H26" s="3">
        <v>1</v>
      </c>
      <c r="I26" s="3">
        <v>0</v>
      </c>
      <c r="J26" s="3">
        <v>16</v>
      </c>
      <c r="K26" s="3">
        <v>6</v>
      </c>
      <c r="L26" s="3">
        <v>16</v>
      </c>
      <c r="M26" s="3">
        <v>0</v>
      </c>
      <c r="N26" s="20">
        <f>SUM(B26:M26)</f>
        <v>122</v>
      </c>
    </row>
    <row r="27" spans="1:14" ht="45" x14ac:dyDescent="0.25">
      <c r="A27" s="4" t="s">
        <v>112</v>
      </c>
      <c r="B27" s="3">
        <v>0</v>
      </c>
      <c r="C27" s="3">
        <v>21</v>
      </c>
      <c r="D27" s="3">
        <v>10</v>
      </c>
      <c r="E27" s="3">
        <v>1</v>
      </c>
      <c r="F27" s="3">
        <v>2</v>
      </c>
      <c r="G27" s="3">
        <v>0</v>
      </c>
      <c r="H27" s="3">
        <v>0</v>
      </c>
      <c r="I27" s="3">
        <v>0</v>
      </c>
      <c r="J27" s="3">
        <v>3</v>
      </c>
      <c r="K27" s="3">
        <v>3</v>
      </c>
      <c r="L27" s="3">
        <v>9</v>
      </c>
      <c r="M27" s="3">
        <v>0</v>
      </c>
      <c r="N27" s="20">
        <f>SUM(B27:M27)</f>
        <v>49</v>
      </c>
    </row>
    <row r="28" spans="1:14" x14ac:dyDescent="0.25">
      <c r="A28" s="10" t="s">
        <v>46</v>
      </c>
      <c r="B28" s="11">
        <f t="shared" ref="B28:M28" si="2">SUM(B25:B27)</f>
        <v>39</v>
      </c>
      <c r="C28" s="11">
        <f t="shared" si="2"/>
        <v>81</v>
      </c>
      <c r="D28" s="11">
        <f t="shared" si="2"/>
        <v>40</v>
      </c>
      <c r="E28" s="11">
        <f t="shared" si="2"/>
        <v>16</v>
      </c>
      <c r="F28" s="11">
        <f t="shared" si="2"/>
        <v>12</v>
      </c>
      <c r="G28" s="11">
        <f t="shared" si="2"/>
        <v>2</v>
      </c>
      <c r="H28" s="11">
        <f t="shared" si="2"/>
        <v>1</v>
      </c>
      <c r="I28" s="11">
        <f t="shared" si="2"/>
        <v>1</v>
      </c>
      <c r="J28" s="11">
        <f t="shared" si="2"/>
        <v>23</v>
      </c>
      <c r="K28" s="11">
        <f t="shared" si="2"/>
        <v>10</v>
      </c>
      <c r="L28" s="11">
        <f t="shared" si="2"/>
        <v>25</v>
      </c>
      <c r="M28" s="11">
        <f t="shared" si="2"/>
        <v>0</v>
      </c>
      <c r="N28" s="11">
        <f>SUM(B28:M28)</f>
        <v>250</v>
      </c>
    </row>
    <row r="29" spans="1:14" ht="30" x14ac:dyDescent="0.25">
      <c r="A29" s="16" t="s">
        <v>44</v>
      </c>
      <c r="B29" s="17">
        <v>0.5</v>
      </c>
      <c r="C29" s="17">
        <v>1</v>
      </c>
      <c r="D29" s="17">
        <v>1</v>
      </c>
      <c r="E29" s="17">
        <v>1.75</v>
      </c>
      <c r="F29" s="17">
        <v>1.75</v>
      </c>
      <c r="G29" s="17">
        <v>2</v>
      </c>
      <c r="H29" s="17">
        <v>2.5</v>
      </c>
      <c r="I29" s="17">
        <v>1.25</v>
      </c>
      <c r="J29" s="17">
        <v>1.5</v>
      </c>
      <c r="K29" s="17">
        <v>2.75</v>
      </c>
      <c r="L29" s="17">
        <v>3</v>
      </c>
      <c r="M29" s="17">
        <v>2</v>
      </c>
      <c r="N29" s="8"/>
    </row>
    <row r="30" spans="1:14" ht="45" x14ac:dyDescent="0.25">
      <c r="A30" s="9" t="s">
        <v>48</v>
      </c>
      <c r="B30" s="18">
        <f>B28*B29</f>
        <v>19.5</v>
      </c>
      <c r="C30" s="18">
        <f t="shared" ref="C30:M30" si="3">C28*C29</f>
        <v>81</v>
      </c>
      <c r="D30" s="18">
        <f t="shared" si="3"/>
        <v>40</v>
      </c>
      <c r="E30" s="18">
        <f t="shared" si="3"/>
        <v>28</v>
      </c>
      <c r="F30" s="18">
        <f t="shared" si="3"/>
        <v>21</v>
      </c>
      <c r="G30" s="18">
        <f t="shared" si="3"/>
        <v>4</v>
      </c>
      <c r="H30" s="18">
        <f t="shared" si="3"/>
        <v>2.5</v>
      </c>
      <c r="I30" s="18">
        <f t="shared" si="3"/>
        <v>1.25</v>
      </c>
      <c r="J30" s="18">
        <f t="shared" si="3"/>
        <v>34.5</v>
      </c>
      <c r="K30" s="18">
        <f t="shared" si="3"/>
        <v>27.5</v>
      </c>
      <c r="L30" s="18">
        <f t="shared" si="3"/>
        <v>75</v>
      </c>
      <c r="M30" s="18">
        <f t="shared" si="3"/>
        <v>0</v>
      </c>
      <c r="N30" s="19">
        <f>SUM(B30:M30)</f>
        <v>334.25</v>
      </c>
    </row>
    <row r="31" spans="1:14" x14ac:dyDescent="0.25">
      <c r="A31" s="12"/>
    </row>
    <row r="32" spans="1:14" ht="24.75" customHeight="1" x14ac:dyDescent="0.25">
      <c r="A32" s="12"/>
    </row>
    <row r="33" spans="1:14" x14ac:dyDescent="0.25">
      <c r="A33" s="12"/>
    </row>
    <row r="34" spans="1:14" ht="45" customHeight="1" x14ac:dyDescent="0.25">
      <c r="A34" s="1" t="s">
        <v>0</v>
      </c>
      <c r="B34" s="2" t="s">
        <v>1</v>
      </c>
      <c r="C34" s="2" t="s">
        <v>2</v>
      </c>
      <c r="D34" s="2" t="s">
        <v>45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7" t="s">
        <v>47</v>
      </c>
    </row>
    <row r="35" spans="1:14" ht="30.75" customHeight="1" x14ac:dyDescent="0.25">
      <c r="A35" s="31" t="s">
        <v>41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8"/>
    </row>
    <row r="36" spans="1:14" ht="45" x14ac:dyDescent="0.25">
      <c r="A36" s="4" t="s">
        <v>110</v>
      </c>
      <c r="B36" s="3">
        <v>25</v>
      </c>
      <c r="C36" s="3">
        <v>21</v>
      </c>
      <c r="D36" s="3">
        <v>8</v>
      </c>
      <c r="E36" s="3">
        <v>4</v>
      </c>
      <c r="F36" s="3">
        <v>7</v>
      </c>
      <c r="G36" s="3">
        <v>1</v>
      </c>
      <c r="H36" s="3">
        <v>1</v>
      </c>
      <c r="I36" s="3">
        <v>0</v>
      </c>
      <c r="J36" s="3">
        <v>0</v>
      </c>
      <c r="K36" s="3">
        <v>1</v>
      </c>
      <c r="L36" s="3">
        <v>2</v>
      </c>
      <c r="M36" s="3">
        <v>0</v>
      </c>
      <c r="N36" s="20">
        <f>SUM(B36:M36)</f>
        <v>70</v>
      </c>
    </row>
    <row r="37" spans="1:14" ht="45" x14ac:dyDescent="0.25">
      <c r="A37" s="4" t="s">
        <v>111</v>
      </c>
      <c r="B37" s="3">
        <v>12</v>
      </c>
      <c r="C37" s="3">
        <v>14</v>
      </c>
      <c r="D37" s="3">
        <v>10</v>
      </c>
      <c r="E37" s="3">
        <v>9</v>
      </c>
      <c r="F37" s="3">
        <v>2</v>
      </c>
      <c r="G37" s="3">
        <v>5</v>
      </c>
      <c r="H37" s="3">
        <v>4</v>
      </c>
      <c r="I37" s="3">
        <v>0</v>
      </c>
      <c r="J37" s="3">
        <v>6</v>
      </c>
      <c r="K37" s="3">
        <v>2</v>
      </c>
      <c r="L37" s="3">
        <v>21</v>
      </c>
      <c r="M37" s="3">
        <v>0</v>
      </c>
      <c r="N37" s="20">
        <f>SUM(B37:M37)</f>
        <v>85</v>
      </c>
    </row>
    <row r="38" spans="1:14" ht="45" x14ac:dyDescent="0.25">
      <c r="A38" s="4" t="s">
        <v>112</v>
      </c>
      <c r="B38" s="3">
        <v>2</v>
      </c>
      <c r="C38" s="3">
        <v>20</v>
      </c>
      <c r="D38" s="3">
        <v>17</v>
      </c>
      <c r="E38" s="3">
        <v>6</v>
      </c>
      <c r="F38" s="3">
        <v>5</v>
      </c>
      <c r="G38" s="3">
        <v>1</v>
      </c>
      <c r="H38" s="3">
        <v>0</v>
      </c>
      <c r="I38" s="3">
        <v>0</v>
      </c>
      <c r="J38" s="3">
        <v>5</v>
      </c>
      <c r="K38" s="3">
        <v>4</v>
      </c>
      <c r="L38" s="3">
        <v>10</v>
      </c>
      <c r="M38" s="3">
        <v>0</v>
      </c>
      <c r="N38" s="20">
        <f>SUM(B38:M38)</f>
        <v>70</v>
      </c>
    </row>
    <row r="39" spans="1:14" ht="53.25" customHeight="1" x14ac:dyDescent="0.25">
      <c r="A39" s="10" t="s">
        <v>46</v>
      </c>
      <c r="B39" s="11">
        <f t="shared" ref="B39:M39" si="4">SUM(B36:B38)</f>
        <v>39</v>
      </c>
      <c r="C39" s="11">
        <f t="shared" si="4"/>
        <v>55</v>
      </c>
      <c r="D39" s="11">
        <f t="shared" si="4"/>
        <v>35</v>
      </c>
      <c r="E39" s="11">
        <f t="shared" si="4"/>
        <v>19</v>
      </c>
      <c r="F39" s="11">
        <f t="shared" si="4"/>
        <v>14</v>
      </c>
      <c r="G39" s="11">
        <f t="shared" si="4"/>
        <v>7</v>
      </c>
      <c r="H39" s="11">
        <f t="shared" si="4"/>
        <v>5</v>
      </c>
      <c r="I39" s="11">
        <f t="shared" si="4"/>
        <v>0</v>
      </c>
      <c r="J39" s="11">
        <f t="shared" si="4"/>
        <v>11</v>
      </c>
      <c r="K39" s="11">
        <f t="shared" si="4"/>
        <v>7</v>
      </c>
      <c r="L39" s="11">
        <f t="shared" si="4"/>
        <v>33</v>
      </c>
      <c r="M39" s="11">
        <f t="shared" si="4"/>
        <v>0</v>
      </c>
      <c r="N39" s="11">
        <f>SUM(B39:M39)</f>
        <v>225</v>
      </c>
    </row>
    <row r="40" spans="1:14" ht="30" x14ac:dyDescent="0.25">
      <c r="A40" s="16" t="s">
        <v>44</v>
      </c>
      <c r="B40" s="17">
        <v>0.5</v>
      </c>
      <c r="C40" s="17">
        <v>1</v>
      </c>
      <c r="D40" s="17">
        <v>1</v>
      </c>
      <c r="E40" s="17">
        <v>1.75</v>
      </c>
      <c r="F40" s="17">
        <v>1.75</v>
      </c>
      <c r="G40" s="17">
        <v>2</v>
      </c>
      <c r="H40" s="17">
        <v>2.5</v>
      </c>
      <c r="I40" s="17">
        <v>1.25</v>
      </c>
      <c r="J40" s="17">
        <v>1.5</v>
      </c>
      <c r="K40" s="17">
        <v>2.75</v>
      </c>
      <c r="L40" s="17">
        <v>3</v>
      </c>
      <c r="M40" s="17">
        <v>2</v>
      </c>
      <c r="N40" s="8"/>
    </row>
    <row r="41" spans="1:14" ht="45" x14ac:dyDescent="0.25">
      <c r="A41" s="9" t="s">
        <v>48</v>
      </c>
      <c r="B41" s="18">
        <f>B39*B40</f>
        <v>19.5</v>
      </c>
      <c r="C41" s="18">
        <f t="shared" ref="C41:M41" si="5">C39*C40</f>
        <v>55</v>
      </c>
      <c r="D41" s="18">
        <f t="shared" si="5"/>
        <v>35</v>
      </c>
      <c r="E41" s="18">
        <f t="shared" si="5"/>
        <v>33.25</v>
      </c>
      <c r="F41" s="18">
        <f t="shared" si="5"/>
        <v>24.5</v>
      </c>
      <c r="G41" s="18">
        <f t="shared" si="5"/>
        <v>14</v>
      </c>
      <c r="H41" s="18">
        <f t="shared" si="5"/>
        <v>12.5</v>
      </c>
      <c r="I41" s="18">
        <f t="shared" si="5"/>
        <v>0</v>
      </c>
      <c r="J41" s="18">
        <f t="shared" si="5"/>
        <v>16.5</v>
      </c>
      <c r="K41" s="18">
        <f t="shared" si="5"/>
        <v>19.25</v>
      </c>
      <c r="L41" s="18">
        <f t="shared" si="5"/>
        <v>99</v>
      </c>
      <c r="M41" s="18">
        <f t="shared" si="5"/>
        <v>0</v>
      </c>
      <c r="N41" s="19">
        <f>SUM(B41:M41)</f>
        <v>328.5</v>
      </c>
    </row>
    <row r="42" spans="1:14" ht="32.25" customHeight="1" x14ac:dyDescent="0.25"/>
    <row r="43" spans="1:14" ht="27.75" customHeight="1" x14ac:dyDescent="0.25"/>
    <row r="45" spans="1:14" ht="62.25" customHeight="1" x14ac:dyDescent="0.25">
      <c r="A45" s="1" t="s">
        <v>0</v>
      </c>
      <c r="B45" s="2" t="s">
        <v>1</v>
      </c>
      <c r="C45" s="2" t="s">
        <v>2</v>
      </c>
      <c r="D45" s="2" t="s">
        <v>45</v>
      </c>
      <c r="E45" s="2" t="s">
        <v>3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8</v>
      </c>
      <c r="K45" s="2" t="s">
        <v>9</v>
      </c>
      <c r="L45" s="2" t="s">
        <v>10</v>
      </c>
      <c r="M45" s="2" t="s">
        <v>11</v>
      </c>
      <c r="N45" s="7" t="s">
        <v>47</v>
      </c>
    </row>
    <row r="46" spans="1:14" ht="21.75" customHeight="1" x14ac:dyDescent="0.25">
      <c r="A46" s="31" t="s">
        <v>42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8"/>
    </row>
    <row r="47" spans="1:14" ht="26.25" customHeight="1" x14ac:dyDescent="0.25">
      <c r="A47" s="4" t="s">
        <v>110</v>
      </c>
      <c r="B47" s="3">
        <v>25</v>
      </c>
      <c r="C47" s="3">
        <v>26</v>
      </c>
      <c r="D47" s="3">
        <v>16</v>
      </c>
      <c r="E47" s="3">
        <v>6</v>
      </c>
      <c r="F47" s="3">
        <v>7</v>
      </c>
      <c r="G47" s="3">
        <v>0</v>
      </c>
      <c r="H47" s="3">
        <v>1</v>
      </c>
      <c r="I47" s="3">
        <v>2</v>
      </c>
      <c r="J47" s="3">
        <v>1</v>
      </c>
      <c r="K47" s="3">
        <v>2</v>
      </c>
      <c r="L47" s="3">
        <v>0</v>
      </c>
      <c r="M47" s="3">
        <v>0</v>
      </c>
      <c r="N47" s="20">
        <f>SUM(B47:M47)</f>
        <v>86</v>
      </c>
    </row>
    <row r="48" spans="1:14" ht="45" x14ac:dyDescent="0.25">
      <c r="A48" s="4" t="s">
        <v>111</v>
      </c>
      <c r="B48" s="3">
        <v>6</v>
      </c>
      <c r="C48" s="3">
        <v>16</v>
      </c>
      <c r="D48" s="3">
        <v>4</v>
      </c>
      <c r="E48" s="3">
        <v>6</v>
      </c>
      <c r="F48" s="3">
        <v>6</v>
      </c>
      <c r="G48" s="3">
        <v>1</v>
      </c>
      <c r="H48" s="3">
        <v>1</v>
      </c>
      <c r="I48" s="3">
        <v>0</v>
      </c>
      <c r="J48" s="3">
        <v>5</v>
      </c>
      <c r="K48" s="3">
        <v>1</v>
      </c>
      <c r="L48" s="3">
        <v>19</v>
      </c>
      <c r="M48" s="3">
        <v>0</v>
      </c>
      <c r="N48" s="20">
        <f>SUM(B48:M48)</f>
        <v>65</v>
      </c>
    </row>
    <row r="49" spans="1:14" ht="28.5" customHeight="1" x14ac:dyDescent="0.25">
      <c r="A49" s="4" t="s">
        <v>112</v>
      </c>
      <c r="B49" s="3">
        <v>1</v>
      </c>
      <c r="C49" s="3">
        <v>15</v>
      </c>
      <c r="D49" s="3">
        <v>8</v>
      </c>
      <c r="E49" s="3">
        <v>6</v>
      </c>
      <c r="F49" s="3">
        <v>1</v>
      </c>
      <c r="G49" s="3">
        <v>0</v>
      </c>
      <c r="H49" s="3">
        <v>0</v>
      </c>
      <c r="I49" s="3">
        <v>0</v>
      </c>
      <c r="J49" s="3">
        <v>5</v>
      </c>
      <c r="K49" s="3">
        <v>0</v>
      </c>
      <c r="L49" s="3">
        <v>7</v>
      </c>
      <c r="M49" s="3">
        <v>0</v>
      </c>
      <c r="N49" s="20">
        <f>SUM(B49:M49)</f>
        <v>43</v>
      </c>
    </row>
    <row r="50" spans="1:14" x14ac:dyDescent="0.25">
      <c r="A50" s="10" t="s">
        <v>46</v>
      </c>
      <c r="B50" s="11">
        <f t="shared" ref="B50:M50" si="6">SUM(B47:B49)</f>
        <v>32</v>
      </c>
      <c r="C50" s="11">
        <f t="shared" si="6"/>
        <v>57</v>
      </c>
      <c r="D50" s="11">
        <f t="shared" si="6"/>
        <v>28</v>
      </c>
      <c r="E50" s="11">
        <f t="shared" si="6"/>
        <v>18</v>
      </c>
      <c r="F50" s="11">
        <f t="shared" si="6"/>
        <v>14</v>
      </c>
      <c r="G50" s="11">
        <f t="shared" si="6"/>
        <v>1</v>
      </c>
      <c r="H50" s="11">
        <f t="shared" si="6"/>
        <v>2</v>
      </c>
      <c r="I50" s="11">
        <f t="shared" si="6"/>
        <v>2</v>
      </c>
      <c r="J50" s="11">
        <f t="shared" si="6"/>
        <v>11</v>
      </c>
      <c r="K50" s="11">
        <f t="shared" si="6"/>
        <v>3</v>
      </c>
      <c r="L50" s="11">
        <f t="shared" si="6"/>
        <v>26</v>
      </c>
      <c r="M50" s="11">
        <f t="shared" si="6"/>
        <v>0</v>
      </c>
      <c r="N50" s="11">
        <f>SUM(B50:M50)</f>
        <v>194</v>
      </c>
    </row>
    <row r="51" spans="1:14" ht="30" x14ac:dyDescent="0.25">
      <c r="A51" s="16" t="s">
        <v>44</v>
      </c>
      <c r="B51" s="17">
        <v>0.5</v>
      </c>
      <c r="C51" s="17">
        <v>1</v>
      </c>
      <c r="D51" s="17">
        <v>1</v>
      </c>
      <c r="E51" s="17">
        <v>1.75</v>
      </c>
      <c r="F51" s="17">
        <v>1.75</v>
      </c>
      <c r="G51" s="17">
        <v>2</v>
      </c>
      <c r="H51" s="17">
        <v>2.5</v>
      </c>
      <c r="I51" s="17">
        <v>1.25</v>
      </c>
      <c r="J51" s="17">
        <v>1.5</v>
      </c>
      <c r="K51" s="17">
        <v>2.75</v>
      </c>
      <c r="L51" s="17">
        <v>3</v>
      </c>
      <c r="M51" s="17">
        <v>2</v>
      </c>
      <c r="N51" s="8"/>
    </row>
    <row r="52" spans="1:14" ht="45" x14ac:dyDescent="0.25">
      <c r="A52" s="9" t="s">
        <v>48</v>
      </c>
      <c r="B52" s="18">
        <f>B50*B51</f>
        <v>16</v>
      </c>
      <c r="C52" s="18">
        <f t="shared" ref="C52:M52" si="7">C50*C51</f>
        <v>57</v>
      </c>
      <c r="D52" s="18">
        <f t="shared" si="7"/>
        <v>28</v>
      </c>
      <c r="E52" s="18">
        <f t="shared" si="7"/>
        <v>31.5</v>
      </c>
      <c r="F52" s="18">
        <f t="shared" si="7"/>
        <v>24.5</v>
      </c>
      <c r="G52" s="18">
        <f t="shared" si="7"/>
        <v>2</v>
      </c>
      <c r="H52" s="18">
        <f t="shared" si="7"/>
        <v>5</v>
      </c>
      <c r="I52" s="18">
        <f t="shared" si="7"/>
        <v>2.5</v>
      </c>
      <c r="J52" s="18">
        <f t="shared" si="7"/>
        <v>16.5</v>
      </c>
      <c r="K52" s="18">
        <f t="shared" si="7"/>
        <v>8.25</v>
      </c>
      <c r="L52" s="18">
        <f t="shared" si="7"/>
        <v>78</v>
      </c>
      <c r="M52" s="18">
        <f t="shared" si="7"/>
        <v>0</v>
      </c>
      <c r="N52" s="19">
        <f>SUM(B52:M52)</f>
        <v>269.25</v>
      </c>
    </row>
    <row r="54" spans="1:14" ht="27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4" x14ac:dyDescent="0.25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4" x14ac:dyDescent="0.25">
      <c r="A56" s="37" t="s">
        <v>49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9" customHeight="1" x14ac:dyDescent="0.25"/>
    <row r="58" spans="1:14" ht="75" x14ac:dyDescent="0.25">
      <c r="A58" s="1"/>
      <c r="B58" s="2" t="s">
        <v>1</v>
      </c>
      <c r="C58" s="2" t="s">
        <v>2</v>
      </c>
      <c r="D58" s="2" t="s">
        <v>45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7" t="s">
        <v>47</v>
      </c>
    </row>
    <row r="59" spans="1:14" x14ac:dyDescent="0.25">
      <c r="A59" s="31" t="s">
        <v>97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3"/>
      <c r="N59" s="8"/>
    </row>
    <row r="60" spans="1:14" ht="45" x14ac:dyDescent="0.25">
      <c r="A60" s="4" t="s">
        <v>110</v>
      </c>
      <c r="B60" s="3">
        <f t="shared" ref="B60:M60" si="8">(B14+B25+B36+B47)</f>
        <v>94</v>
      </c>
      <c r="C60" s="3">
        <f t="shared" si="8"/>
        <v>94</v>
      </c>
      <c r="D60" s="3">
        <f t="shared" si="8"/>
        <v>48</v>
      </c>
      <c r="E60" s="3">
        <f t="shared" si="8"/>
        <v>18</v>
      </c>
      <c r="F60" s="3">
        <f t="shared" si="8"/>
        <v>19</v>
      </c>
      <c r="G60" s="3">
        <f t="shared" si="8"/>
        <v>1</v>
      </c>
      <c r="H60" s="3">
        <f t="shared" si="8"/>
        <v>2</v>
      </c>
      <c r="I60" s="3">
        <f t="shared" si="8"/>
        <v>3</v>
      </c>
      <c r="J60" s="3">
        <f t="shared" si="8"/>
        <v>8</v>
      </c>
      <c r="K60" s="3">
        <f t="shared" si="8"/>
        <v>5</v>
      </c>
      <c r="L60" s="3">
        <f t="shared" si="8"/>
        <v>2</v>
      </c>
      <c r="M60" s="3">
        <f t="shared" si="8"/>
        <v>0</v>
      </c>
      <c r="N60" s="20">
        <f>SUM(B60:M60)</f>
        <v>294</v>
      </c>
    </row>
    <row r="61" spans="1:14" ht="45" x14ac:dyDescent="0.25">
      <c r="A61" s="4" t="s">
        <v>111</v>
      </c>
      <c r="B61" s="3">
        <f t="shared" ref="B61:M61" si="9">(B15+B26+B37+B48)</f>
        <v>37</v>
      </c>
      <c r="C61" s="3">
        <f t="shared" si="9"/>
        <v>77</v>
      </c>
      <c r="D61" s="3">
        <f t="shared" si="9"/>
        <v>48</v>
      </c>
      <c r="E61" s="3">
        <f t="shared" si="9"/>
        <v>29</v>
      </c>
      <c r="F61" s="3">
        <f t="shared" si="9"/>
        <v>16</v>
      </c>
      <c r="G61" s="3">
        <f t="shared" si="9"/>
        <v>8</v>
      </c>
      <c r="H61" s="3">
        <f t="shared" si="9"/>
        <v>6</v>
      </c>
      <c r="I61" s="3">
        <f t="shared" si="9"/>
        <v>0</v>
      </c>
      <c r="J61" s="3">
        <f t="shared" si="9"/>
        <v>28</v>
      </c>
      <c r="K61" s="3">
        <f t="shared" si="9"/>
        <v>16</v>
      </c>
      <c r="L61" s="3">
        <f t="shared" si="9"/>
        <v>81</v>
      </c>
      <c r="M61" s="3">
        <f t="shared" si="9"/>
        <v>0</v>
      </c>
      <c r="N61" s="20">
        <f>SUM(B61:M61)</f>
        <v>346</v>
      </c>
    </row>
    <row r="62" spans="1:14" ht="45" x14ac:dyDescent="0.25">
      <c r="A62" s="4" t="s">
        <v>112</v>
      </c>
      <c r="B62" s="3">
        <f t="shared" ref="B62:M62" si="10">(B16+B27+B38+B49)</f>
        <v>5</v>
      </c>
      <c r="C62" s="3">
        <f t="shared" si="10"/>
        <v>79</v>
      </c>
      <c r="D62" s="3">
        <f t="shared" si="10"/>
        <v>45</v>
      </c>
      <c r="E62" s="3">
        <f t="shared" si="10"/>
        <v>20</v>
      </c>
      <c r="F62" s="3">
        <f t="shared" si="10"/>
        <v>11</v>
      </c>
      <c r="G62" s="3">
        <f t="shared" si="10"/>
        <v>2</v>
      </c>
      <c r="H62" s="3">
        <f t="shared" si="10"/>
        <v>2</v>
      </c>
      <c r="I62" s="3">
        <f t="shared" si="10"/>
        <v>2</v>
      </c>
      <c r="J62" s="3">
        <f t="shared" si="10"/>
        <v>19</v>
      </c>
      <c r="K62" s="3">
        <f t="shared" si="10"/>
        <v>11</v>
      </c>
      <c r="L62" s="3">
        <f t="shared" si="10"/>
        <v>42</v>
      </c>
      <c r="M62" s="3">
        <f t="shared" si="10"/>
        <v>0</v>
      </c>
      <c r="N62" s="20">
        <f>SUM(B62:M62)</f>
        <v>238</v>
      </c>
    </row>
    <row r="63" spans="1:14" x14ac:dyDescent="0.25">
      <c r="A63" s="10" t="s">
        <v>46</v>
      </c>
      <c r="B63" s="11">
        <f t="shared" ref="B63:M63" si="11">SUM(B60:B62)</f>
        <v>136</v>
      </c>
      <c r="C63" s="11">
        <f t="shared" si="11"/>
        <v>250</v>
      </c>
      <c r="D63" s="11">
        <f t="shared" si="11"/>
        <v>141</v>
      </c>
      <c r="E63" s="11">
        <f t="shared" si="11"/>
        <v>67</v>
      </c>
      <c r="F63" s="11">
        <f t="shared" si="11"/>
        <v>46</v>
      </c>
      <c r="G63" s="11">
        <f t="shared" si="11"/>
        <v>11</v>
      </c>
      <c r="H63" s="11">
        <f t="shared" si="11"/>
        <v>10</v>
      </c>
      <c r="I63" s="11">
        <f t="shared" si="11"/>
        <v>5</v>
      </c>
      <c r="J63" s="11">
        <f t="shared" si="11"/>
        <v>55</v>
      </c>
      <c r="K63" s="11">
        <f t="shared" si="11"/>
        <v>32</v>
      </c>
      <c r="L63" s="11">
        <f t="shared" si="11"/>
        <v>125</v>
      </c>
      <c r="M63" s="11">
        <f t="shared" si="11"/>
        <v>0</v>
      </c>
      <c r="N63" s="11">
        <f>SUM(B63:M63)</f>
        <v>878</v>
      </c>
    </row>
    <row r="64" spans="1:14" ht="30" x14ac:dyDescent="0.25">
      <c r="A64" s="16" t="s">
        <v>44</v>
      </c>
      <c r="B64" s="17">
        <v>0.5</v>
      </c>
      <c r="C64" s="17">
        <v>1</v>
      </c>
      <c r="D64" s="17">
        <v>1</v>
      </c>
      <c r="E64" s="17">
        <v>1.75</v>
      </c>
      <c r="F64" s="17">
        <v>1.75</v>
      </c>
      <c r="G64" s="17">
        <v>2</v>
      </c>
      <c r="H64" s="17">
        <v>2.5</v>
      </c>
      <c r="I64" s="17">
        <v>1.25</v>
      </c>
      <c r="J64" s="17">
        <v>1.5</v>
      </c>
      <c r="K64" s="17">
        <v>2.75</v>
      </c>
      <c r="L64" s="17">
        <v>3</v>
      </c>
      <c r="M64" s="17">
        <v>2</v>
      </c>
      <c r="N64" s="8"/>
    </row>
    <row r="65" spans="1:14" ht="45" x14ac:dyDescent="0.25">
      <c r="A65" s="9" t="s">
        <v>48</v>
      </c>
      <c r="B65" s="18">
        <f>B63*B64</f>
        <v>68</v>
      </c>
      <c r="C65" s="18">
        <f t="shared" ref="C65:M65" si="12">C63*C64</f>
        <v>250</v>
      </c>
      <c r="D65" s="18">
        <f t="shared" si="12"/>
        <v>141</v>
      </c>
      <c r="E65" s="18">
        <f t="shared" si="12"/>
        <v>117.25</v>
      </c>
      <c r="F65" s="18">
        <f t="shared" si="12"/>
        <v>80.5</v>
      </c>
      <c r="G65" s="18">
        <f t="shared" si="12"/>
        <v>22</v>
      </c>
      <c r="H65" s="18">
        <f t="shared" si="12"/>
        <v>25</v>
      </c>
      <c r="I65" s="18">
        <f t="shared" si="12"/>
        <v>6.25</v>
      </c>
      <c r="J65" s="18">
        <f t="shared" si="12"/>
        <v>82.5</v>
      </c>
      <c r="K65" s="18">
        <f t="shared" si="12"/>
        <v>88</v>
      </c>
      <c r="L65" s="18">
        <f t="shared" si="12"/>
        <v>375</v>
      </c>
      <c r="M65" s="18">
        <f t="shared" si="12"/>
        <v>0</v>
      </c>
      <c r="N65" s="19">
        <f>SUM(B65:M65)</f>
        <v>1255.5</v>
      </c>
    </row>
    <row r="67" spans="1:14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>
        <f>ROUND(N65/(MAX(N19,N30,N41,N52)*4),2)</f>
        <v>0.94</v>
      </c>
    </row>
    <row r="73" spans="1:14" ht="34.5" customHeight="1" x14ac:dyDescent="0.25"/>
    <row r="82" spans="1:13" x14ac:dyDescent="0.25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25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</sheetData>
  <mergeCells count="13">
    <mergeCell ref="A9:N9"/>
    <mergeCell ref="A1:N1"/>
    <mergeCell ref="A3:N3"/>
    <mergeCell ref="A5:N5"/>
    <mergeCell ref="A6:N6"/>
    <mergeCell ref="A7:N7"/>
    <mergeCell ref="A59:M59"/>
    <mergeCell ref="A10:N10"/>
    <mergeCell ref="A13:M13"/>
    <mergeCell ref="A24:M24"/>
    <mergeCell ref="A35:M35"/>
    <mergeCell ref="A46:M46"/>
    <mergeCell ref="A56:N56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84"/>
  <sheetViews>
    <sheetView view="pageBreakPreview" zoomScaleNormal="100" zoomScaleSheetLayoutView="100" workbookViewId="0">
      <selection activeCell="A4" sqref="A4"/>
    </sheetView>
  </sheetViews>
  <sheetFormatPr defaultRowHeight="15" x14ac:dyDescent="0.25"/>
  <cols>
    <col min="1" max="1" width="12.5703125" customWidth="1"/>
  </cols>
  <sheetData>
    <row r="1" spans="1:14" x14ac:dyDescent="0.25">
      <c r="A1" s="30" t="s">
        <v>99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8" t="str">
        <f>'7-8AM'!A3:N3</f>
        <v>ROAD: NAIROBI - MOMBASA (A8) ROAD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9" customHeight="1" x14ac:dyDescent="0.25"/>
    <row r="5" spans="1:14" x14ac:dyDescent="0.25">
      <c r="A5" s="39" t="str">
        <f>'7-8AM'!A5:N5</f>
        <v>SITE: ATHI RIVER AREA, MACHAKOS COUNTY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9" t="str">
        <f>'7-8AM'!A6:N6</f>
        <v>PROJECT: EXISTING COMMERCIAL DEVELOPMENT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x14ac:dyDescent="0.25">
      <c r="A7" s="39" t="str">
        <f>'7-8AM'!A7:N7</f>
        <v>C/O: CRYSTAL RIVERS MALL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7.5" customHeight="1" x14ac:dyDescent="0.25"/>
    <row r="9" spans="1:14" x14ac:dyDescent="0.25">
      <c r="A9" s="35" t="s">
        <v>17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34" t="s">
        <v>43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ht="9" customHeight="1" x14ac:dyDescent="0.25"/>
    <row r="12" spans="1:14" ht="71.25" customHeight="1" x14ac:dyDescent="0.25">
      <c r="A12" s="1" t="s">
        <v>0</v>
      </c>
      <c r="B12" s="2" t="s">
        <v>1</v>
      </c>
      <c r="C12" s="2" t="s">
        <v>2</v>
      </c>
      <c r="D12" s="2" t="s">
        <v>45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7" t="s">
        <v>47</v>
      </c>
    </row>
    <row r="13" spans="1:14" ht="20.25" customHeight="1" x14ac:dyDescent="0.25">
      <c r="A13" s="31" t="s">
        <v>86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8"/>
    </row>
    <row r="14" spans="1:14" ht="28.5" customHeight="1" x14ac:dyDescent="0.25">
      <c r="A14" s="4" t="s">
        <v>110</v>
      </c>
      <c r="B14" s="3">
        <v>20</v>
      </c>
      <c r="C14" s="3">
        <v>25</v>
      </c>
      <c r="D14" s="3">
        <v>13</v>
      </c>
      <c r="E14" s="3">
        <v>1</v>
      </c>
      <c r="F14" s="3">
        <v>9</v>
      </c>
      <c r="G14" s="3">
        <v>4</v>
      </c>
      <c r="H14" s="3">
        <v>0</v>
      </c>
      <c r="I14" s="3">
        <v>0</v>
      </c>
      <c r="J14" s="3">
        <v>1</v>
      </c>
      <c r="K14" s="3">
        <v>1</v>
      </c>
      <c r="L14" s="3">
        <v>2</v>
      </c>
      <c r="M14" s="3">
        <v>0</v>
      </c>
      <c r="N14" s="20">
        <f>SUM(B14:M14)</f>
        <v>76</v>
      </c>
    </row>
    <row r="15" spans="1:14" ht="31.5" customHeight="1" x14ac:dyDescent="0.25">
      <c r="A15" s="4" t="s">
        <v>111</v>
      </c>
      <c r="B15" s="3">
        <v>6</v>
      </c>
      <c r="C15" s="3">
        <v>28</v>
      </c>
      <c r="D15" s="3">
        <v>9</v>
      </c>
      <c r="E15" s="3">
        <v>3</v>
      </c>
      <c r="F15" s="3">
        <v>5</v>
      </c>
      <c r="G15" s="3">
        <v>4</v>
      </c>
      <c r="H15" s="3">
        <v>0</v>
      </c>
      <c r="I15" s="3">
        <v>0</v>
      </c>
      <c r="J15" s="3">
        <v>13</v>
      </c>
      <c r="K15" s="3">
        <v>2</v>
      </c>
      <c r="L15" s="3">
        <v>17</v>
      </c>
      <c r="M15" s="3">
        <v>0</v>
      </c>
      <c r="N15" s="20">
        <f>SUM(B15:M15)</f>
        <v>87</v>
      </c>
    </row>
    <row r="16" spans="1:14" ht="27" customHeight="1" x14ac:dyDescent="0.25">
      <c r="A16" s="4" t="s">
        <v>112</v>
      </c>
      <c r="B16" s="3">
        <v>0</v>
      </c>
      <c r="C16" s="3">
        <v>25</v>
      </c>
      <c r="D16" s="3">
        <v>13</v>
      </c>
      <c r="E16" s="3">
        <v>2</v>
      </c>
      <c r="F16" s="3">
        <v>2</v>
      </c>
      <c r="G16" s="3">
        <v>0</v>
      </c>
      <c r="H16" s="3">
        <v>0</v>
      </c>
      <c r="I16" s="3">
        <v>0</v>
      </c>
      <c r="J16" s="3">
        <v>2</v>
      </c>
      <c r="K16" s="3">
        <v>0</v>
      </c>
      <c r="L16" s="3">
        <v>10</v>
      </c>
      <c r="M16" s="3">
        <v>0</v>
      </c>
      <c r="N16" s="20">
        <f>SUM(B16:M16)</f>
        <v>54</v>
      </c>
    </row>
    <row r="17" spans="1:14" ht="47.25" customHeight="1" x14ac:dyDescent="0.25">
      <c r="A17" s="10" t="s">
        <v>46</v>
      </c>
      <c r="B17" s="11">
        <f t="shared" ref="B17:M17" si="0">SUM(B14:B16)</f>
        <v>26</v>
      </c>
      <c r="C17" s="11">
        <f t="shared" si="0"/>
        <v>78</v>
      </c>
      <c r="D17" s="11">
        <f t="shared" si="0"/>
        <v>35</v>
      </c>
      <c r="E17" s="11">
        <f t="shared" si="0"/>
        <v>6</v>
      </c>
      <c r="F17" s="11">
        <f t="shared" si="0"/>
        <v>16</v>
      </c>
      <c r="G17" s="11">
        <f t="shared" si="0"/>
        <v>8</v>
      </c>
      <c r="H17" s="11">
        <f t="shared" si="0"/>
        <v>0</v>
      </c>
      <c r="I17" s="11">
        <f t="shared" si="0"/>
        <v>0</v>
      </c>
      <c r="J17" s="11">
        <f t="shared" si="0"/>
        <v>16</v>
      </c>
      <c r="K17" s="11">
        <f t="shared" si="0"/>
        <v>3</v>
      </c>
      <c r="L17" s="11">
        <f t="shared" si="0"/>
        <v>29</v>
      </c>
      <c r="M17" s="11">
        <f t="shared" si="0"/>
        <v>0</v>
      </c>
      <c r="N17" s="11">
        <f>SUM(B17:M17)</f>
        <v>217</v>
      </c>
    </row>
    <row r="18" spans="1:14" ht="30" x14ac:dyDescent="0.25">
      <c r="A18" s="16" t="s">
        <v>44</v>
      </c>
      <c r="B18" s="17">
        <v>0.5</v>
      </c>
      <c r="C18" s="17">
        <v>1</v>
      </c>
      <c r="D18" s="17">
        <v>1</v>
      </c>
      <c r="E18" s="17">
        <v>1.75</v>
      </c>
      <c r="F18" s="17">
        <v>1.75</v>
      </c>
      <c r="G18" s="17">
        <v>2</v>
      </c>
      <c r="H18" s="17">
        <v>2.5</v>
      </c>
      <c r="I18" s="17">
        <v>1.25</v>
      </c>
      <c r="J18" s="17">
        <v>1.5</v>
      </c>
      <c r="K18" s="17">
        <v>2.75</v>
      </c>
      <c r="L18" s="17">
        <v>3</v>
      </c>
      <c r="M18" s="17">
        <v>2</v>
      </c>
      <c r="N18" s="8"/>
    </row>
    <row r="19" spans="1:14" ht="45" x14ac:dyDescent="0.25">
      <c r="A19" s="9" t="s">
        <v>48</v>
      </c>
      <c r="B19" s="18">
        <f>B17*B18</f>
        <v>13</v>
      </c>
      <c r="C19" s="18">
        <f t="shared" ref="C19:M19" si="1">C17*C18</f>
        <v>78</v>
      </c>
      <c r="D19" s="18">
        <f t="shared" si="1"/>
        <v>35</v>
      </c>
      <c r="E19" s="18">
        <f t="shared" si="1"/>
        <v>10.5</v>
      </c>
      <c r="F19" s="18">
        <f t="shared" si="1"/>
        <v>28</v>
      </c>
      <c r="G19" s="18">
        <f t="shared" si="1"/>
        <v>16</v>
      </c>
      <c r="H19" s="18">
        <f t="shared" si="1"/>
        <v>0</v>
      </c>
      <c r="I19" s="18">
        <f t="shared" si="1"/>
        <v>0</v>
      </c>
      <c r="J19" s="18">
        <f t="shared" si="1"/>
        <v>24</v>
      </c>
      <c r="K19" s="18">
        <f t="shared" si="1"/>
        <v>8.25</v>
      </c>
      <c r="L19" s="18">
        <f t="shared" si="1"/>
        <v>87</v>
      </c>
      <c r="M19" s="18">
        <f t="shared" si="1"/>
        <v>0</v>
      </c>
      <c r="N19" s="19">
        <f>SUM(B19:M19)</f>
        <v>299.75</v>
      </c>
    </row>
    <row r="20" spans="1:14" x14ac:dyDescent="0.25">
      <c r="A20" s="5"/>
    </row>
    <row r="21" spans="1:14" x14ac:dyDescent="0.25">
      <c r="A21" s="5"/>
    </row>
    <row r="22" spans="1:14" x14ac:dyDescent="0.25">
      <c r="A22" s="5"/>
    </row>
    <row r="23" spans="1:14" ht="75" x14ac:dyDescent="0.25">
      <c r="A23" s="1" t="s">
        <v>0</v>
      </c>
      <c r="B23" s="2" t="s">
        <v>1</v>
      </c>
      <c r="C23" s="2" t="s">
        <v>2</v>
      </c>
      <c r="D23" s="2" t="s">
        <v>45</v>
      </c>
      <c r="E23" s="2" t="s">
        <v>3</v>
      </c>
      <c r="F23" s="2" t="s">
        <v>4</v>
      </c>
      <c r="G23" s="2" t="s">
        <v>5</v>
      </c>
      <c r="H23" s="2" t="s">
        <v>6</v>
      </c>
      <c r="I23" s="2" t="s">
        <v>7</v>
      </c>
      <c r="J23" s="2" t="s">
        <v>8</v>
      </c>
      <c r="K23" s="2" t="s">
        <v>9</v>
      </c>
      <c r="L23" s="2" t="s">
        <v>10</v>
      </c>
      <c r="M23" s="2" t="s">
        <v>11</v>
      </c>
      <c r="N23" s="7" t="s">
        <v>47</v>
      </c>
    </row>
    <row r="24" spans="1:14" x14ac:dyDescent="0.25">
      <c r="A24" s="31" t="s">
        <v>87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3"/>
      <c r="N24" s="8"/>
    </row>
    <row r="25" spans="1:14" ht="27" customHeight="1" x14ac:dyDescent="0.25">
      <c r="A25" s="4" t="s">
        <v>110</v>
      </c>
      <c r="B25" s="3">
        <v>16</v>
      </c>
      <c r="C25" s="3">
        <v>37</v>
      </c>
      <c r="D25" s="3">
        <v>16</v>
      </c>
      <c r="E25" s="3">
        <v>7</v>
      </c>
      <c r="F25" s="3">
        <v>11</v>
      </c>
      <c r="G25" s="3">
        <v>0</v>
      </c>
      <c r="H25" s="3">
        <v>1</v>
      </c>
      <c r="I25" s="3">
        <v>0</v>
      </c>
      <c r="J25" s="3">
        <v>1</v>
      </c>
      <c r="K25" s="3">
        <v>1</v>
      </c>
      <c r="L25" s="3">
        <v>1</v>
      </c>
      <c r="M25" s="3">
        <v>0</v>
      </c>
      <c r="N25" s="20">
        <f>SUM(B25:M25)</f>
        <v>91</v>
      </c>
    </row>
    <row r="26" spans="1:14" ht="45" x14ac:dyDescent="0.25">
      <c r="A26" s="4" t="s">
        <v>111</v>
      </c>
      <c r="B26" s="3">
        <v>9</v>
      </c>
      <c r="C26" s="3">
        <v>18</v>
      </c>
      <c r="D26" s="3">
        <v>9</v>
      </c>
      <c r="E26" s="3">
        <v>1</v>
      </c>
      <c r="F26" s="3">
        <v>3</v>
      </c>
      <c r="G26" s="3">
        <v>0</v>
      </c>
      <c r="H26" s="3">
        <v>1</v>
      </c>
      <c r="I26" s="3">
        <v>1</v>
      </c>
      <c r="J26" s="3">
        <v>6</v>
      </c>
      <c r="K26" s="3">
        <v>0</v>
      </c>
      <c r="L26" s="3">
        <v>13</v>
      </c>
      <c r="M26" s="3">
        <v>0</v>
      </c>
      <c r="N26" s="20">
        <f>SUM(B26:M26)</f>
        <v>61</v>
      </c>
    </row>
    <row r="27" spans="1:14" ht="45" x14ac:dyDescent="0.25">
      <c r="A27" s="4" t="s">
        <v>112</v>
      </c>
      <c r="B27" s="3">
        <v>3</v>
      </c>
      <c r="C27" s="3">
        <v>29</v>
      </c>
      <c r="D27" s="3">
        <v>26</v>
      </c>
      <c r="E27" s="3">
        <v>9</v>
      </c>
      <c r="F27" s="3">
        <v>6</v>
      </c>
      <c r="G27" s="3">
        <v>0</v>
      </c>
      <c r="H27" s="3">
        <v>0</v>
      </c>
      <c r="I27" s="3">
        <v>0</v>
      </c>
      <c r="J27" s="3">
        <v>20</v>
      </c>
      <c r="K27" s="3">
        <v>3</v>
      </c>
      <c r="L27" s="3">
        <v>16</v>
      </c>
      <c r="M27" s="3">
        <v>0</v>
      </c>
      <c r="N27" s="20">
        <f>SUM(B27:M27)</f>
        <v>112</v>
      </c>
    </row>
    <row r="28" spans="1:14" x14ac:dyDescent="0.25">
      <c r="A28" s="10" t="s">
        <v>46</v>
      </c>
      <c r="B28" s="11">
        <f t="shared" ref="B28:M28" si="2">SUM(B25:B27)</f>
        <v>28</v>
      </c>
      <c r="C28" s="11">
        <f t="shared" si="2"/>
        <v>84</v>
      </c>
      <c r="D28" s="11">
        <f t="shared" si="2"/>
        <v>51</v>
      </c>
      <c r="E28" s="11">
        <f t="shared" si="2"/>
        <v>17</v>
      </c>
      <c r="F28" s="11">
        <f t="shared" si="2"/>
        <v>20</v>
      </c>
      <c r="G28" s="11">
        <f t="shared" si="2"/>
        <v>0</v>
      </c>
      <c r="H28" s="11">
        <f t="shared" si="2"/>
        <v>2</v>
      </c>
      <c r="I28" s="11">
        <f t="shared" si="2"/>
        <v>1</v>
      </c>
      <c r="J28" s="11">
        <f t="shared" si="2"/>
        <v>27</v>
      </c>
      <c r="K28" s="11">
        <f t="shared" si="2"/>
        <v>4</v>
      </c>
      <c r="L28" s="11">
        <f t="shared" si="2"/>
        <v>30</v>
      </c>
      <c r="M28" s="11">
        <f t="shared" si="2"/>
        <v>0</v>
      </c>
      <c r="N28" s="11">
        <f>SUM(B28:M28)</f>
        <v>264</v>
      </c>
    </row>
    <row r="29" spans="1:14" ht="30" x14ac:dyDescent="0.25">
      <c r="A29" s="16" t="s">
        <v>44</v>
      </c>
      <c r="B29" s="17">
        <v>0.5</v>
      </c>
      <c r="C29" s="17">
        <v>1</v>
      </c>
      <c r="D29" s="17">
        <v>1</v>
      </c>
      <c r="E29" s="17">
        <v>1.75</v>
      </c>
      <c r="F29" s="17">
        <v>1.75</v>
      </c>
      <c r="G29" s="17">
        <v>2</v>
      </c>
      <c r="H29" s="17">
        <v>2.5</v>
      </c>
      <c r="I29" s="17">
        <v>1.25</v>
      </c>
      <c r="J29" s="17">
        <v>1.5</v>
      </c>
      <c r="K29" s="17">
        <v>2.75</v>
      </c>
      <c r="L29" s="17">
        <v>3</v>
      </c>
      <c r="M29" s="17">
        <v>2</v>
      </c>
      <c r="N29" s="8"/>
    </row>
    <row r="30" spans="1:14" ht="45" x14ac:dyDescent="0.25">
      <c r="A30" s="9" t="s">
        <v>48</v>
      </c>
      <c r="B30" s="18">
        <f>B28*B29</f>
        <v>14</v>
      </c>
      <c r="C30" s="18">
        <f t="shared" ref="C30:M30" si="3">C28*C29</f>
        <v>84</v>
      </c>
      <c r="D30" s="18">
        <f t="shared" si="3"/>
        <v>51</v>
      </c>
      <c r="E30" s="18">
        <f t="shared" si="3"/>
        <v>29.75</v>
      </c>
      <c r="F30" s="18">
        <f t="shared" si="3"/>
        <v>35</v>
      </c>
      <c r="G30" s="18">
        <f t="shared" si="3"/>
        <v>0</v>
      </c>
      <c r="H30" s="18">
        <f t="shared" si="3"/>
        <v>5</v>
      </c>
      <c r="I30" s="18">
        <f t="shared" si="3"/>
        <v>1.25</v>
      </c>
      <c r="J30" s="18">
        <f t="shared" si="3"/>
        <v>40.5</v>
      </c>
      <c r="K30" s="18">
        <f t="shared" si="3"/>
        <v>11</v>
      </c>
      <c r="L30" s="18">
        <f t="shared" si="3"/>
        <v>90</v>
      </c>
      <c r="M30" s="18">
        <f t="shared" si="3"/>
        <v>0</v>
      </c>
      <c r="N30" s="19">
        <f>SUM(B30:M30)</f>
        <v>361.5</v>
      </c>
    </row>
    <row r="31" spans="1:14" x14ac:dyDescent="0.25">
      <c r="A31" s="12"/>
    </row>
    <row r="32" spans="1:14" ht="24.75" customHeight="1" x14ac:dyDescent="0.25">
      <c r="A32" s="12"/>
    </row>
    <row r="33" spans="1:14" x14ac:dyDescent="0.25">
      <c r="A33" s="12"/>
    </row>
    <row r="34" spans="1:14" ht="45" customHeight="1" x14ac:dyDescent="0.25">
      <c r="A34" s="1" t="s">
        <v>0</v>
      </c>
      <c r="B34" s="2" t="s">
        <v>1</v>
      </c>
      <c r="C34" s="2" t="s">
        <v>2</v>
      </c>
      <c r="D34" s="2" t="s">
        <v>45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7" t="s">
        <v>47</v>
      </c>
    </row>
    <row r="35" spans="1:14" ht="30.75" customHeight="1" x14ac:dyDescent="0.25">
      <c r="A35" s="31" t="s">
        <v>88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3"/>
      <c r="N35" s="8"/>
    </row>
    <row r="36" spans="1:14" ht="45" x14ac:dyDescent="0.25">
      <c r="A36" s="4" t="s">
        <v>110</v>
      </c>
      <c r="B36" s="3">
        <v>19</v>
      </c>
      <c r="C36" s="3">
        <v>25</v>
      </c>
      <c r="D36" s="3">
        <v>19</v>
      </c>
      <c r="E36" s="3">
        <v>4</v>
      </c>
      <c r="F36" s="3">
        <v>11</v>
      </c>
      <c r="G36" s="3">
        <v>0</v>
      </c>
      <c r="H36" s="3">
        <v>1</v>
      </c>
      <c r="I36" s="3">
        <v>0</v>
      </c>
      <c r="J36" s="3">
        <v>5</v>
      </c>
      <c r="K36" s="3">
        <v>1</v>
      </c>
      <c r="L36" s="3">
        <v>0</v>
      </c>
      <c r="M36" s="3">
        <v>0</v>
      </c>
      <c r="N36" s="20">
        <f>SUM(B36:M36)</f>
        <v>85</v>
      </c>
    </row>
    <row r="37" spans="1:14" ht="45" x14ac:dyDescent="0.25">
      <c r="A37" s="4" t="s">
        <v>111</v>
      </c>
      <c r="B37" s="3">
        <v>8</v>
      </c>
      <c r="C37" s="3">
        <v>20</v>
      </c>
      <c r="D37" s="3">
        <v>13</v>
      </c>
      <c r="E37" s="3">
        <v>7</v>
      </c>
      <c r="F37" s="3">
        <v>6</v>
      </c>
      <c r="G37" s="3">
        <v>1</v>
      </c>
      <c r="H37" s="3">
        <v>0</v>
      </c>
      <c r="I37" s="3">
        <v>0</v>
      </c>
      <c r="J37" s="3">
        <v>7</v>
      </c>
      <c r="K37" s="3">
        <v>9</v>
      </c>
      <c r="L37" s="3">
        <v>23</v>
      </c>
      <c r="M37" s="3">
        <v>1</v>
      </c>
      <c r="N37" s="20">
        <f>SUM(B37:M37)</f>
        <v>95</v>
      </c>
    </row>
    <row r="38" spans="1:14" ht="45" x14ac:dyDescent="0.25">
      <c r="A38" s="4" t="s">
        <v>112</v>
      </c>
      <c r="B38" s="3">
        <v>0</v>
      </c>
      <c r="C38" s="3">
        <v>23</v>
      </c>
      <c r="D38" s="3">
        <v>11</v>
      </c>
      <c r="E38" s="3">
        <v>4</v>
      </c>
      <c r="F38" s="3">
        <v>1</v>
      </c>
      <c r="G38" s="3">
        <v>1</v>
      </c>
      <c r="H38" s="3">
        <v>0</v>
      </c>
      <c r="I38" s="3">
        <v>0</v>
      </c>
      <c r="J38" s="3">
        <v>5</v>
      </c>
      <c r="K38" s="3">
        <v>0</v>
      </c>
      <c r="L38" s="3">
        <v>6</v>
      </c>
      <c r="M38" s="3">
        <v>0</v>
      </c>
      <c r="N38" s="20">
        <f>SUM(B38:M38)</f>
        <v>51</v>
      </c>
    </row>
    <row r="39" spans="1:14" ht="53.25" customHeight="1" x14ac:dyDescent="0.25">
      <c r="A39" s="10" t="s">
        <v>46</v>
      </c>
      <c r="B39" s="11">
        <f t="shared" ref="B39:M39" si="4">SUM(B36:B38)</f>
        <v>27</v>
      </c>
      <c r="C39" s="11">
        <f t="shared" si="4"/>
        <v>68</v>
      </c>
      <c r="D39" s="11">
        <f t="shared" si="4"/>
        <v>43</v>
      </c>
      <c r="E39" s="11">
        <f t="shared" si="4"/>
        <v>15</v>
      </c>
      <c r="F39" s="11">
        <f t="shared" si="4"/>
        <v>18</v>
      </c>
      <c r="G39" s="11">
        <f t="shared" si="4"/>
        <v>2</v>
      </c>
      <c r="H39" s="11">
        <f t="shared" si="4"/>
        <v>1</v>
      </c>
      <c r="I39" s="11">
        <f t="shared" si="4"/>
        <v>0</v>
      </c>
      <c r="J39" s="11">
        <f t="shared" si="4"/>
        <v>17</v>
      </c>
      <c r="K39" s="11">
        <f t="shared" si="4"/>
        <v>10</v>
      </c>
      <c r="L39" s="11">
        <f t="shared" si="4"/>
        <v>29</v>
      </c>
      <c r="M39" s="11">
        <f t="shared" si="4"/>
        <v>1</v>
      </c>
      <c r="N39" s="11">
        <f>SUM(B39:M39)</f>
        <v>231</v>
      </c>
    </row>
    <row r="40" spans="1:14" ht="30" x14ac:dyDescent="0.25">
      <c r="A40" s="16" t="s">
        <v>44</v>
      </c>
      <c r="B40" s="17">
        <v>0.5</v>
      </c>
      <c r="C40" s="17">
        <v>1</v>
      </c>
      <c r="D40" s="17">
        <v>1</v>
      </c>
      <c r="E40" s="17">
        <v>1.75</v>
      </c>
      <c r="F40" s="17">
        <v>1.75</v>
      </c>
      <c r="G40" s="17">
        <v>2</v>
      </c>
      <c r="H40" s="17">
        <v>2.5</v>
      </c>
      <c r="I40" s="17">
        <v>1.25</v>
      </c>
      <c r="J40" s="17">
        <v>1.5</v>
      </c>
      <c r="K40" s="17">
        <v>2.75</v>
      </c>
      <c r="L40" s="17">
        <v>3</v>
      </c>
      <c r="M40" s="17">
        <v>2</v>
      </c>
      <c r="N40" s="8"/>
    </row>
    <row r="41" spans="1:14" ht="45" x14ac:dyDescent="0.25">
      <c r="A41" s="9" t="s">
        <v>48</v>
      </c>
      <c r="B41" s="18">
        <f>B39*B40</f>
        <v>13.5</v>
      </c>
      <c r="C41" s="18">
        <f t="shared" ref="C41:M41" si="5">C39*C40</f>
        <v>68</v>
      </c>
      <c r="D41" s="18">
        <f t="shared" si="5"/>
        <v>43</v>
      </c>
      <c r="E41" s="18">
        <f t="shared" si="5"/>
        <v>26.25</v>
      </c>
      <c r="F41" s="18">
        <f t="shared" si="5"/>
        <v>31.5</v>
      </c>
      <c r="G41" s="18">
        <f t="shared" si="5"/>
        <v>4</v>
      </c>
      <c r="H41" s="18">
        <f t="shared" si="5"/>
        <v>2.5</v>
      </c>
      <c r="I41" s="18">
        <f t="shared" si="5"/>
        <v>0</v>
      </c>
      <c r="J41" s="18">
        <f t="shared" si="5"/>
        <v>25.5</v>
      </c>
      <c r="K41" s="18">
        <f t="shared" si="5"/>
        <v>27.5</v>
      </c>
      <c r="L41" s="18">
        <f t="shared" si="5"/>
        <v>87</v>
      </c>
      <c r="M41" s="18">
        <f t="shared" si="5"/>
        <v>2</v>
      </c>
      <c r="N41" s="19">
        <f>SUM(B41:M41)</f>
        <v>330.75</v>
      </c>
    </row>
    <row r="42" spans="1:14" ht="32.25" customHeight="1" x14ac:dyDescent="0.25"/>
    <row r="43" spans="1:14" ht="27.75" customHeight="1" x14ac:dyDescent="0.25"/>
    <row r="45" spans="1:14" ht="62.25" customHeight="1" x14ac:dyDescent="0.25">
      <c r="A45" s="1" t="s">
        <v>0</v>
      </c>
      <c r="B45" s="2" t="s">
        <v>1</v>
      </c>
      <c r="C45" s="2" t="s">
        <v>2</v>
      </c>
      <c r="D45" s="2" t="s">
        <v>45</v>
      </c>
      <c r="E45" s="2" t="s">
        <v>3</v>
      </c>
      <c r="F45" s="2" t="s">
        <v>4</v>
      </c>
      <c r="G45" s="2" t="s">
        <v>5</v>
      </c>
      <c r="H45" s="2" t="s">
        <v>6</v>
      </c>
      <c r="I45" s="2" t="s">
        <v>7</v>
      </c>
      <c r="J45" s="2" t="s">
        <v>8</v>
      </c>
      <c r="K45" s="2" t="s">
        <v>9</v>
      </c>
      <c r="L45" s="2" t="s">
        <v>10</v>
      </c>
      <c r="M45" s="2" t="s">
        <v>11</v>
      </c>
      <c r="N45" s="7" t="s">
        <v>47</v>
      </c>
    </row>
    <row r="46" spans="1:14" ht="21.75" customHeight="1" x14ac:dyDescent="0.25">
      <c r="A46" s="31" t="s">
        <v>89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8"/>
    </row>
    <row r="47" spans="1:14" ht="26.25" customHeight="1" x14ac:dyDescent="0.25">
      <c r="A47" s="4" t="s">
        <v>110</v>
      </c>
      <c r="B47" s="3">
        <v>28</v>
      </c>
      <c r="C47" s="3">
        <v>29</v>
      </c>
      <c r="D47" s="3">
        <v>22</v>
      </c>
      <c r="E47" s="3">
        <v>3</v>
      </c>
      <c r="F47" s="3">
        <v>2</v>
      </c>
      <c r="G47" s="3">
        <v>1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20">
        <f>SUM(B47:M47)</f>
        <v>86</v>
      </c>
    </row>
    <row r="48" spans="1:14" ht="45" x14ac:dyDescent="0.25">
      <c r="A48" s="4" t="s">
        <v>111</v>
      </c>
      <c r="B48" s="3">
        <v>3</v>
      </c>
      <c r="C48" s="3">
        <v>22</v>
      </c>
      <c r="D48" s="3">
        <v>14</v>
      </c>
      <c r="E48" s="3">
        <v>6</v>
      </c>
      <c r="F48" s="3">
        <v>4</v>
      </c>
      <c r="G48" s="3">
        <v>1</v>
      </c>
      <c r="H48" s="3">
        <v>1</v>
      </c>
      <c r="I48" s="3">
        <v>0</v>
      </c>
      <c r="J48" s="3">
        <v>5</v>
      </c>
      <c r="K48" s="3">
        <v>4</v>
      </c>
      <c r="L48" s="3">
        <v>20</v>
      </c>
      <c r="M48" s="3">
        <v>0</v>
      </c>
      <c r="N48" s="20">
        <f>SUM(B48:M48)</f>
        <v>80</v>
      </c>
    </row>
    <row r="49" spans="1:14" ht="28.5" customHeight="1" x14ac:dyDescent="0.25">
      <c r="A49" s="4" t="s">
        <v>112</v>
      </c>
      <c r="B49" s="3">
        <v>1</v>
      </c>
      <c r="C49" s="3">
        <v>21</v>
      </c>
      <c r="D49" s="3">
        <v>10</v>
      </c>
      <c r="E49" s="3">
        <v>1</v>
      </c>
      <c r="F49" s="3">
        <v>1</v>
      </c>
      <c r="G49" s="3">
        <v>0</v>
      </c>
      <c r="H49" s="3">
        <v>0</v>
      </c>
      <c r="I49" s="3">
        <v>0</v>
      </c>
      <c r="J49" s="3">
        <v>2</v>
      </c>
      <c r="K49" s="3">
        <v>0</v>
      </c>
      <c r="L49" s="3">
        <v>2</v>
      </c>
      <c r="M49" s="3">
        <v>0</v>
      </c>
      <c r="N49" s="20">
        <f>SUM(B49:M49)</f>
        <v>38</v>
      </c>
    </row>
    <row r="50" spans="1:14" x14ac:dyDescent="0.25">
      <c r="A50" s="10" t="s">
        <v>46</v>
      </c>
      <c r="B50" s="11">
        <f t="shared" ref="B50:M50" si="6">SUM(B47:B49)</f>
        <v>32</v>
      </c>
      <c r="C50" s="11">
        <f t="shared" si="6"/>
        <v>72</v>
      </c>
      <c r="D50" s="11">
        <f t="shared" si="6"/>
        <v>46</v>
      </c>
      <c r="E50" s="11">
        <f t="shared" si="6"/>
        <v>10</v>
      </c>
      <c r="F50" s="11">
        <f t="shared" si="6"/>
        <v>7</v>
      </c>
      <c r="G50" s="11">
        <f t="shared" si="6"/>
        <v>2</v>
      </c>
      <c r="H50" s="11">
        <f t="shared" si="6"/>
        <v>2</v>
      </c>
      <c r="I50" s="11">
        <f t="shared" si="6"/>
        <v>0</v>
      </c>
      <c r="J50" s="11">
        <f t="shared" si="6"/>
        <v>7</v>
      </c>
      <c r="K50" s="11">
        <f t="shared" si="6"/>
        <v>4</v>
      </c>
      <c r="L50" s="11">
        <f t="shared" si="6"/>
        <v>22</v>
      </c>
      <c r="M50" s="11">
        <f t="shared" si="6"/>
        <v>0</v>
      </c>
      <c r="N50" s="11">
        <f>SUM(B50:M50)</f>
        <v>204</v>
      </c>
    </row>
    <row r="51" spans="1:14" ht="30" x14ac:dyDescent="0.25">
      <c r="A51" s="16" t="s">
        <v>44</v>
      </c>
      <c r="B51" s="17">
        <v>0.5</v>
      </c>
      <c r="C51" s="17">
        <v>1</v>
      </c>
      <c r="D51" s="17">
        <v>1</v>
      </c>
      <c r="E51" s="17">
        <v>1.75</v>
      </c>
      <c r="F51" s="17">
        <v>1.75</v>
      </c>
      <c r="G51" s="17">
        <v>2</v>
      </c>
      <c r="H51" s="17">
        <v>2.5</v>
      </c>
      <c r="I51" s="17">
        <v>1.25</v>
      </c>
      <c r="J51" s="17">
        <v>1.5</v>
      </c>
      <c r="K51" s="17">
        <v>2.75</v>
      </c>
      <c r="L51" s="17">
        <v>3</v>
      </c>
      <c r="M51" s="17">
        <v>2</v>
      </c>
      <c r="N51" s="8"/>
    </row>
    <row r="52" spans="1:14" ht="45" x14ac:dyDescent="0.25">
      <c r="A52" s="9" t="s">
        <v>48</v>
      </c>
      <c r="B52" s="18">
        <f>B50*B51</f>
        <v>16</v>
      </c>
      <c r="C52" s="18">
        <f t="shared" ref="C52:M52" si="7">C50*C51</f>
        <v>72</v>
      </c>
      <c r="D52" s="18">
        <f t="shared" si="7"/>
        <v>46</v>
      </c>
      <c r="E52" s="18">
        <f t="shared" si="7"/>
        <v>17.5</v>
      </c>
      <c r="F52" s="18">
        <f t="shared" si="7"/>
        <v>12.25</v>
      </c>
      <c r="G52" s="18">
        <f t="shared" si="7"/>
        <v>4</v>
      </c>
      <c r="H52" s="18">
        <f t="shared" si="7"/>
        <v>5</v>
      </c>
      <c r="I52" s="18">
        <f t="shared" si="7"/>
        <v>0</v>
      </c>
      <c r="J52" s="18">
        <f t="shared" si="7"/>
        <v>10.5</v>
      </c>
      <c r="K52" s="18">
        <f t="shared" si="7"/>
        <v>11</v>
      </c>
      <c r="L52" s="18">
        <f t="shared" si="7"/>
        <v>66</v>
      </c>
      <c r="M52" s="18">
        <f t="shared" si="7"/>
        <v>0</v>
      </c>
      <c r="N52" s="19">
        <f>SUM(B52:M52)</f>
        <v>260.25</v>
      </c>
    </row>
    <row r="54" spans="1:14" ht="27.75" customHeight="1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4" x14ac:dyDescent="0.25">
      <c r="A55" s="15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4" x14ac:dyDescent="0.25">
      <c r="A56" s="37" t="s">
        <v>49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9" customHeight="1" x14ac:dyDescent="0.25"/>
    <row r="58" spans="1:14" ht="75" x14ac:dyDescent="0.25">
      <c r="A58" s="1"/>
      <c r="B58" s="2" t="s">
        <v>1</v>
      </c>
      <c r="C58" s="2" t="s">
        <v>2</v>
      </c>
      <c r="D58" s="2" t="s">
        <v>45</v>
      </c>
      <c r="E58" s="2" t="s">
        <v>3</v>
      </c>
      <c r="F58" s="2" t="s">
        <v>4</v>
      </c>
      <c r="G58" s="2" t="s">
        <v>5</v>
      </c>
      <c r="H58" s="2" t="s">
        <v>6</v>
      </c>
      <c r="I58" s="2" t="s">
        <v>7</v>
      </c>
      <c r="J58" s="2" t="s">
        <v>8</v>
      </c>
      <c r="K58" s="2" t="s">
        <v>9</v>
      </c>
      <c r="L58" s="2" t="s">
        <v>10</v>
      </c>
      <c r="M58" s="2" t="s">
        <v>11</v>
      </c>
      <c r="N58" s="7" t="s">
        <v>47</v>
      </c>
    </row>
    <row r="59" spans="1:14" x14ac:dyDescent="0.25">
      <c r="A59" s="31" t="s">
        <v>98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3"/>
      <c r="N59" s="8"/>
    </row>
    <row r="60" spans="1:14" ht="45" x14ac:dyDescent="0.25">
      <c r="A60" s="4" t="s">
        <v>110</v>
      </c>
      <c r="B60" s="3">
        <f t="shared" ref="B60:M60" si="8">(B14+B25+B36+B47)</f>
        <v>83</v>
      </c>
      <c r="C60" s="3">
        <f t="shared" si="8"/>
        <v>116</v>
      </c>
      <c r="D60" s="3">
        <f t="shared" si="8"/>
        <v>70</v>
      </c>
      <c r="E60" s="3">
        <f t="shared" si="8"/>
        <v>15</v>
      </c>
      <c r="F60" s="3">
        <f t="shared" si="8"/>
        <v>33</v>
      </c>
      <c r="G60" s="3">
        <f t="shared" si="8"/>
        <v>5</v>
      </c>
      <c r="H60" s="3">
        <f t="shared" si="8"/>
        <v>3</v>
      </c>
      <c r="I60" s="3">
        <f t="shared" si="8"/>
        <v>0</v>
      </c>
      <c r="J60" s="3">
        <f t="shared" si="8"/>
        <v>7</v>
      </c>
      <c r="K60" s="3">
        <f t="shared" si="8"/>
        <v>3</v>
      </c>
      <c r="L60" s="3">
        <f t="shared" si="8"/>
        <v>3</v>
      </c>
      <c r="M60" s="3">
        <f t="shared" si="8"/>
        <v>0</v>
      </c>
      <c r="N60" s="20">
        <f>SUM(B60:M60)</f>
        <v>338</v>
      </c>
    </row>
    <row r="61" spans="1:14" ht="45" x14ac:dyDescent="0.25">
      <c r="A61" s="4" t="s">
        <v>111</v>
      </c>
      <c r="B61" s="3">
        <f t="shared" ref="B61:M61" si="9">(B15+B26+B37+B48)</f>
        <v>26</v>
      </c>
      <c r="C61" s="3">
        <f t="shared" si="9"/>
        <v>88</v>
      </c>
      <c r="D61" s="3">
        <f t="shared" si="9"/>
        <v>45</v>
      </c>
      <c r="E61" s="3">
        <f t="shared" si="9"/>
        <v>17</v>
      </c>
      <c r="F61" s="3">
        <f t="shared" si="9"/>
        <v>18</v>
      </c>
      <c r="G61" s="3">
        <f t="shared" si="9"/>
        <v>6</v>
      </c>
      <c r="H61" s="3">
        <f t="shared" si="9"/>
        <v>2</v>
      </c>
      <c r="I61" s="3">
        <f t="shared" si="9"/>
        <v>1</v>
      </c>
      <c r="J61" s="3">
        <f t="shared" si="9"/>
        <v>31</v>
      </c>
      <c r="K61" s="3">
        <f t="shared" si="9"/>
        <v>15</v>
      </c>
      <c r="L61" s="3">
        <f t="shared" si="9"/>
        <v>73</v>
      </c>
      <c r="M61" s="3">
        <f t="shared" si="9"/>
        <v>1</v>
      </c>
      <c r="N61" s="20">
        <f>SUM(B61:M61)</f>
        <v>323</v>
      </c>
    </row>
    <row r="62" spans="1:14" ht="45" x14ac:dyDescent="0.25">
      <c r="A62" s="4" t="s">
        <v>112</v>
      </c>
      <c r="B62" s="3">
        <f t="shared" ref="B62:M62" si="10">(B16+B27+B38+B49)</f>
        <v>4</v>
      </c>
      <c r="C62" s="3">
        <f t="shared" si="10"/>
        <v>98</v>
      </c>
      <c r="D62" s="3">
        <f t="shared" si="10"/>
        <v>60</v>
      </c>
      <c r="E62" s="3">
        <f t="shared" si="10"/>
        <v>16</v>
      </c>
      <c r="F62" s="3">
        <f t="shared" si="10"/>
        <v>10</v>
      </c>
      <c r="G62" s="3">
        <f t="shared" si="10"/>
        <v>1</v>
      </c>
      <c r="H62" s="3">
        <f t="shared" si="10"/>
        <v>0</v>
      </c>
      <c r="I62" s="3">
        <f t="shared" si="10"/>
        <v>0</v>
      </c>
      <c r="J62" s="3">
        <f t="shared" si="10"/>
        <v>29</v>
      </c>
      <c r="K62" s="3">
        <f t="shared" si="10"/>
        <v>3</v>
      </c>
      <c r="L62" s="3">
        <f t="shared" si="10"/>
        <v>34</v>
      </c>
      <c r="M62" s="3">
        <f t="shared" si="10"/>
        <v>0</v>
      </c>
      <c r="N62" s="20">
        <f>SUM(B62:M62)</f>
        <v>255</v>
      </c>
    </row>
    <row r="63" spans="1:14" x14ac:dyDescent="0.25">
      <c r="A63" s="10" t="s">
        <v>46</v>
      </c>
      <c r="B63" s="11">
        <f t="shared" ref="B63:M63" si="11">SUM(B60:B62)</f>
        <v>113</v>
      </c>
      <c r="C63" s="11">
        <f t="shared" si="11"/>
        <v>302</v>
      </c>
      <c r="D63" s="11">
        <f t="shared" si="11"/>
        <v>175</v>
      </c>
      <c r="E63" s="11">
        <f t="shared" si="11"/>
        <v>48</v>
      </c>
      <c r="F63" s="11">
        <f t="shared" si="11"/>
        <v>61</v>
      </c>
      <c r="G63" s="11">
        <f t="shared" si="11"/>
        <v>12</v>
      </c>
      <c r="H63" s="11">
        <f t="shared" si="11"/>
        <v>5</v>
      </c>
      <c r="I63" s="11">
        <f t="shared" si="11"/>
        <v>1</v>
      </c>
      <c r="J63" s="11">
        <f t="shared" si="11"/>
        <v>67</v>
      </c>
      <c r="K63" s="11">
        <f t="shared" si="11"/>
        <v>21</v>
      </c>
      <c r="L63" s="11">
        <f t="shared" si="11"/>
        <v>110</v>
      </c>
      <c r="M63" s="11">
        <f t="shared" si="11"/>
        <v>1</v>
      </c>
      <c r="N63" s="11">
        <f>SUM(B63:M63)</f>
        <v>916</v>
      </c>
    </row>
    <row r="64" spans="1:14" ht="30" x14ac:dyDescent="0.25">
      <c r="A64" s="16" t="s">
        <v>44</v>
      </c>
      <c r="B64" s="17">
        <v>0.5</v>
      </c>
      <c r="C64" s="17">
        <v>1</v>
      </c>
      <c r="D64" s="17">
        <v>1</v>
      </c>
      <c r="E64" s="17">
        <v>1.75</v>
      </c>
      <c r="F64" s="17">
        <v>1.75</v>
      </c>
      <c r="G64" s="17">
        <v>2</v>
      </c>
      <c r="H64" s="17">
        <v>2.5</v>
      </c>
      <c r="I64" s="17">
        <v>1.25</v>
      </c>
      <c r="J64" s="17">
        <v>1.5</v>
      </c>
      <c r="K64" s="17">
        <v>2.75</v>
      </c>
      <c r="L64" s="17">
        <v>3</v>
      </c>
      <c r="M64" s="17">
        <v>2</v>
      </c>
      <c r="N64" s="8"/>
    </row>
    <row r="65" spans="1:14" ht="45" x14ac:dyDescent="0.25">
      <c r="A65" s="9" t="s">
        <v>48</v>
      </c>
      <c r="B65" s="18">
        <f>B63*B64</f>
        <v>56.5</v>
      </c>
      <c r="C65" s="18">
        <f t="shared" ref="C65:M65" si="12">C63*C64</f>
        <v>302</v>
      </c>
      <c r="D65" s="18">
        <f t="shared" si="12"/>
        <v>175</v>
      </c>
      <c r="E65" s="18">
        <f t="shared" si="12"/>
        <v>84</v>
      </c>
      <c r="F65" s="18">
        <f t="shared" si="12"/>
        <v>106.75</v>
      </c>
      <c r="G65" s="18">
        <f t="shared" si="12"/>
        <v>24</v>
      </c>
      <c r="H65" s="18">
        <f t="shared" si="12"/>
        <v>12.5</v>
      </c>
      <c r="I65" s="18">
        <f t="shared" si="12"/>
        <v>1.25</v>
      </c>
      <c r="J65" s="18">
        <f t="shared" si="12"/>
        <v>100.5</v>
      </c>
      <c r="K65" s="18">
        <f t="shared" si="12"/>
        <v>57.75</v>
      </c>
      <c r="L65" s="18">
        <f t="shared" si="12"/>
        <v>330</v>
      </c>
      <c r="M65" s="18">
        <f t="shared" si="12"/>
        <v>2</v>
      </c>
      <c r="N65" s="19">
        <f>SUM(B65:M65)</f>
        <v>1252.25</v>
      </c>
    </row>
    <row r="67" spans="1:14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>
        <f>ROUND(N65/(MAX(N19,N30,N41,N52)*4),2)</f>
        <v>0.87</v>
      </c>
    </row>
    <row r="73" spans="1:14" ht="34.5" customHeight="1" x14ac:dyDescent="0.25"/>
    <row r="82" spans="1:13" x14ac:dyDescent="0.25">
      <c r="A82" s="15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 x14ac:dyDescent="0.25">
      <c r="A83" s="15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5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</sheetData>
  <mergeCells count="13">
    <mergeCell ref="A9:N9"/>
    <mergeCell ref="A1:N1"/>
    <mergeCell ref="A3:N3"/>
    <mergeCell ref="A5:N5"/>
    <mergeCell ref="A6:N6"/>
    <mergeCell ref="A7:N7"/>
    <mergeCell ref="A59:M59"/>
    <mergeCell ref="A10:N10"/>
    <mergeCell ref="A13:M13"/>
    <mergeCell ref="A24:M24"/>
    <mergeCell ref="A35:M35"/>
    <mergeCell ref="A46:M46"/>
    <mergeCell ref="A56:N56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26"/>
  <sheetViews>
    <sheetView tabSelected="1" view="pageBreakPreview" topLeftCell="A101" zoomScaleNormal="100" zoomScaleSheetLayoutView="100" workbookViewId="0">
      <selection activeCell="Q14" sqref="Q14"/>
    </sheetView>
  </sheetViews>
  <sheetFormatPr defaultRowHeight="15" x14ac:dyDescent="0.25"/>
  <cols>
    <col min="1" max="1" width="15" customWidth="1"/>
  </cols>
  <sheetData>
    <row r="1" spans="1:14" x14ac:dyDescent="0.25">
      <c r="A1" s="30" t="s">
        <v>56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8" customHeight="1" x14ac:dyDescent="0.25"/>
    <row r="3" spans="1:14" x14ac:dyDescent="0.25">
      <c r="A3" s="38" t="str">
        <f>'7-8AM'!A3:N3</f>
        <v>ROAD: NAIROBI - MOMBASA (A8) ROAD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</row>
    <row r="4" spans="1:14" ht="9" customHeight="1" x14ac:dyDescent="0.25"/>
    <row r="5" spans="1:14" x14ac:dyDescent="0.25">
      <c r="A5" s="39" t="str">
        <f>'7-8AM'!A5:N5</f>
        <v>SITE: ATHI RIVER AREA, MACHAKOS COUNTY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</row>
    <row r="6" spans="1:14" x14ac:dyDescent="0.25">
      <c r="A6" s="39" t="str">
        <f>'7-8AM'!A6:N6</f>
        <v>PROJECT: EXISTING COMMERCIAL DEVELOPMENT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</row>
    <row r="7" spans="1:14" x14ac:dyDescent="0.25">
      <c r="A7" s="39" t="str">
        <f>'7-8AM'!A7:N7</f>
        <v>C/O: CRYSTAL RIVERS MALL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4" ht="7.5" customHeight="1" x14ac:dyDescent="0.25"/>
    <row r="9" spans="1:14" x14ac:dyDescent="0.25">
      <c r="A9" s="35" t="s">
        <v>17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34" t="s">
        <v>68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</row>
    <row r="11" spans="1:14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25">
      <c r="A12" s="38" t="s">
        <v>69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4" ht="9" customHeight="1" x14ac:dyDescent="0.25"/>
    <row r="14" spans="1:14" ht="71.25" customHeight="1" x14ac:dyDescent="0.25">
      <c r="A14" s="1" t="s">
        <v>0</v>
      </c>
      <c r="B14" s="2" t="s">
        <v>1</v>
      </c>
      <c r="C14" s="2" t="s">
        <v>2</v>
      </c>
      <c r="D14" s="2" t="s">
        <v>45</v>
      </c>
      <c r="E14" s="2" t="s">
        <v>3</v>
      </c>
      <c r="F14" s="2" t="s">
        <v>4</v>
      </c>
      <c r="G14" s="2" t="s">
        <v>5</v>
      </c>
      <c r="H14" s="2" t="s">
        <v>6</v>
      </c>
      <c r="I14" s="2" t="s">
        <v>7</v>
      </c>
      <c r="J14" s="2" t="s">
        <v>8</v>
      </c>
      <c r="K14" s="2" t="s">
        <v>9</v>
      </c>
      <c r="L14" s="2" t="s">
        <v>10</v>
      </c>
      <c r="M14" s="2" t="s">
        <v>11</v>
      </c>
      <c r="N14" s="7" t="s">
        <v>47</v>
      </c>
    </row>
    <row r="15" spans="1:14" ht="15.75" customHeight="1" x14ac:dyDescent="0.25">
      <c r="A15" s="31" t="s">
        <v>55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3"/>
      <c r="N15" s="23"/>
    </row>
    <row r="16" spans="1:14" ht="31.5" customHeight="1" x14ac:dyDescent="0.25">
      <c r="A16" s="4" t="s">
        <v>110</v>
      </c>
      <c r="B16" s="3">
        <f>'7-8AM'!B60</f>
        <v>65</v>
      </c>
      <c r="C16" s="3">
        <f>'7-8AM'!C60</f>
        <v>38</v>
      </c>
      <c r="D16" s="3">
        <f>'7-8AM'!D60</f>
        <v>27</v>
      </c>
      <c r="E16" s="3">
        <f>'7-8AM'!E60</f>
        <v>4</v>
      </c>
      <c r="F16" s="3">
        <f>'7-8AM'!F60</f>
        <v>19</v>
      </c>
      <c r="G16" s="3">
        <f>'7-8AM'!G60</f>
        <v>12</v>
      </c>
      <c r="H16" s="3">
        <f>'7-8AM'!H60</f>
        <v>4</v>
      </c>
      <c r="I16" s="3">
        <f>'7-8AM'!I60</f>
        <v>0</v>
      </c>
      <c r="J16" s="3">
        <f>'7-8AM'!J60</f>
        <v>4</v>
      </c>
      <c r="K16" s="3">
        <f>'7-8AM'!K60</f>
        <v>0</v>
      </c>
      <c r="L16" s="3">
        <f>'7-8AM'!L60</f>
        <v>0</v>
      </c>
      <c r="M16" s="3">
        <f>'7-8AM'!M60</f>
        <v>0</v>
      </c>
      <c r="N16" s="22">
        <f>'7-8AM'!N60</f>
        <v>173</v>
      </c>
    </row>
    <row r="17" spans="1:14" ht="30.75" customHeight="1" x14ac:dyDescent="0.25">
      <c r="A17" s="4" t="s">
        <v>111</v>
      </c>
      <c r="B17" s="3">
        <f>'7-8AM'!B61</f>
        <v>75</v>
      </c>
      <c r="C17" s="3">
        <f>'7-8AM'!C61</f>
        <v>118</v>
      </c>
      <c r="D17" s="3">
        <f>'7-8AM'!D61</f>
        <v>87</v>
      </c>
      <c r="E17" s="3">
        <f>'7-8AM'!E61</f>
        <v>21</v>
      </c>
      <c r="F17" s="3">
        <f>'7-8AM'!F61</f>
        <v>31</v>
      </c>
      <c r="G17" s="3">
        <f>'7-8AM'!G61</f>
        <v>19</v>
      </c>
      <c r="H17" s="3">
        <f>'7-8AM'!H61</f>
        <v>2</v>
      </c>
      <c r="I17" s="3">
        <f>'7-8AM'!I61</f>
        <v>0</v>
      </c>
      <c r="J17" s="3">
        <f>'7-8AM'!J61</f>
        <v>32</v>
      </c>
      <c r="K17" s="3">
        <f>'7-8AM'!K61</f>
        <v>24</v>
      </c>
      <c r="L17" s="3">
        <f>'7-8AM'!L61</f>
        <v>60</v>
      </c>
      <c r="M17" s="3">
        <f>'7-8AM'!M61</f>
        <v>1</v>
      </c>
      <c r="N17" s="22">
        <f>'7-8AM'!N61</f>
        <v>470</v>
      </c>
    </row>
    <row r="18" spans="1:14" ht="30" x14ac:dyDescent="0.25">
      <c r="A18" s="4" t="s">
        <v>112</v>
      </c>
      <c r="B18" s="3">
        <f>'7-8AM'!B62</f>
        <v>14</v>
      </c>
      <c r="C18" s="3">
        <f>'7-8AM'!C62</f>
        <v>160</v>
      </c>
      <c r="D18" s="3">
        <f>'7-8AM'!D62</f>
        <v>82</v>
      </c>
      <c r="E18" s="3">
        <f>'7-8AM'!E62</f>
        <v>38</v>
      </c>
      <c r="F18" s="3">
        <f>'7-8AM'!F62</f>
        <v>41</v>
      </c>
      <c r="G18" s="3">
        <f>'7-8AM'!G62</f>
        <v>15</v>
      </c>
      <c r="H18" s="3">
        <f>'7-8AM'!H62</f>
        <v>1</v>
      </c>
      <c r="I18" s="3">
        <f>'7-8AM'!I62</f>
        <v>2</v>
      </c>
      <c r="J18" s="3">
        <f>'7-8AM'!J62</f>
        <v>23</v>
      </c>
      <c r="K18" s="3">
        <f>'7-8AM'!K62</f>
        <v>11</v>
      </c>
      <c r="L18" s="3">
        <f>'7-8AM'!L62</f>
        <v>34</v>
      </c>
      <c r="M18" s="3">
        <f>'7-8AM'!M62</f>
        <v>0</v>
      </c>
      <c r="N18" s="22">
        <f>'7-8AM'!N62</f>
        <v>421</v>
      </c>
    </row>
    <row r="19" spans="1:14" x14ac:dyDescent="0.25">
      <c r="A19" s="21" t="s">
        <v>16</v>
      </c>
      <c r="B19" s="1">
        <f t="shared" ref="B19:M19" si="0">SUM(B16:B18)</f>
        <v>154</v>
      </c>
      <c r="C19" s="1">
        <f t="shared" si="0"/>
        <v>316</v>
      </c>
      <c r="D19" s="1">
        <f t="shared" si="0"/>
        <v>196</v>
      </c>
      <c r="E19" s="1">
        <f t="shared" si="0"/>
        <v>63</v>
      </c>
      <c r="F19" s="1">
        <f t="shared" si="0"/>
        <v>91</v>
      </c>
      <c r="G19" s="1">
        <f t="shared" si="0"/>
        <v>46</v>
      </c>
      <c r="H19" s="1">
        <f t="shared" si="0"/>
        <v>7</v>
      </c>
      <c r="I19" s="1">
        <f t="shared" si="0"/>
        <v>2</v>
      </c>
      <c r="J19" s="1">
        <f t="shared" si="0"/>
        <v>59</v>
      </c>
      <c r="K19" s="1">
        <f t="shared" si="0"/>
        <v>35</v>
      </c>
      <c r="L19" s="1">
        <f t="shared" si="0"/>
        <v>94</v>
      </c>
      <c r="M19" s="1">
        <f t="shared" si="0"/>
        <v>1</v>
      </c>
      <c r="N19" s="22">
        <f>SUM(B19:M19)</f>
        <v>1064</v>
      </c>
    </row>
    <row r="20" spans="1:14" x14ac:dyDescent="0.25">
      <c r="A20" s="5"/>
    </row>
    <row r="21" spans="1:14" x14ac:dyDescent="0.25">
      <c r="A21" s="5"/>
    </row>
    <row r="22" spans="1:14" x14ac:dyDescent="0.25">
      <c r="A22" s="31" t="s">
        <v>57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23"/>
    </row>
    <row r="23" spans="1:14" ht="7.5" customHeight="1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9"/>
      <c r="N23" s="23"/>
    </row>
    <row r="24" spans="1:14" ht="34.5" customHeight="1" x14ac:dyDescent="0.25">
      <c r="A24" s="4" t="s">
        <v>110</v>
      </c>
      <c r="B24" s="3">
        <f>'8-9 AM'!B60</f>
        <v>119</v>
      </c>
      <c r="C24" s="3">
        <f>'8-9 AM'!C60</f>
        <v>69</v>
      </c>
      <c r="D24" s="3">
        <f>'8-9 AM'!D60</f>
        <v>28</v>
      </c>
      <c r="E24" s="3">
        <f>'8-9 AM'!E60</f>
        <v>9</v>
      </c>
      <c r="F24" s="3">
        <f>'8-9 AM'!F60</f>
        <v>27</v>
      </c>
      <c r="G24" s="3">
        <f>'8-9 AM'!G60</f>
        <v>3</v>
      </c>
      <c r="H24" s="3">
        <f>'8-9 AM'!H60</f>
        <v>0</v>
      </c>
      <c r="I24" s="3">
        <f>'8-9 AM'!I60</f>
        <v>3</v>
      </c>
      <c r="J24" s="3">
        <f>'8-9 AM'!J60</f>
        <v>8</v>
      </c>
      <c r="K24" s="3">
        <f>'8-9 AM'!K60</f>
        <v>2</v>
      </c>
      <c r="L24" s="3">
        <f>'8-9 AM'!L60</f>
        <v>1</v>
      </c>
      <c r="M24" s="3">
        <f>'8-9 AM'!M60</f>
        <v>0</v>
      </c>
      <c r="N24" s="20">
        <f>'[1]8-9 AM'!N60</f>
        <v>349</v>
      </c>
    </row>
    <row r="25" spans="1:14" ht="30" x14ac:dyDescent="0.25">
      <c r="A25" s="4" t="s">
        <v>111</v>
      </c>
      <c r="B25" s="3">
        <f>'8-9 AM'!B61</f>
        <v>20</v>
      </c>
      <c r="C25" s="3">
        <f>'8-9 AM'!C61</f>
        <v>106</v>
      </c>
      <c r="D25" s="3">
        <f>'8-9 AM'!D61</f>
        <v>80</v>
      </c>
      <c r="E25" s="3">
        <f>'8-9 AM'!E61</f>
        <v>31</v>
      </c>
      <c r="F25" s="3">
        <f>'8-9 AM'!F61</f>
        <v>21</v>
      </c>
      <c r="G25" s="3">
        <f>'8-9 AM'!G61</f>
        <v>5</v>
      </c>
      <c r="H25" s="3">
        <f>'8-9 AM'!H61</f>
        <v>0</v>
      </c>
      <c r="I25" s="3">
        <f>'8-9 AM'!I61</f>
        <v>0</v>
      </c>
      <c r="J25" s="3">
        <f>'8-9 AM'!J61</f>
        <v>63</v>
      </c>
      <c r="K25" s="3">
        <f>'8-9 AM'!K61</f>
        <v>32</v>
      </c>
      <c r="L25" s="3">
        <f>'8-9 AM'!L61</f>
        <v>71</v>
      </c>
      <c r="M25" s="3">
        <f>'8-9 AM'!M61</f>
        <v>1</v>
      </c>
      <c r="N25" s="20">
        <f>'[1]8-9 AM'!N61</f>
        <v>185</v>
      </c>
    </row>
    <row r="26" spans="1:14" ht="30" customHeight="1" x14ac:dyDescent="0.25">
      <c r="A26" s="4" t="s">
        <v>112</v>
      </c>
      <c r="B26" s="3">
        <f>'8-9 AM'!B62</f>
        <v>11</v>
      </c>
      <c r="C26" s="3">
        <f>'8-9 AM'!C62</f>
        <v>140</v>
      </c>
      <c r="D26" s="3">
        <f>'8-9 AM'!D62</f>
        <v>154</v>
      </c>
      <c r="E26" s="3">
        <f>'8-9 AM'!E62</f>
        <v>45</v>
      </c>
      <c r="F26" s="3">
        <f>'8-9 AM'!F62</f>
        <v>25</v>
      </c>
      <c r="G26" s="3">
        <f>'8-9 AM'!G62</f>
        <v>2</v>
      </c>
      <c r="H26" s="3">
        <f>'8-9 AM'!H62</f>
        <v>1</v>
      </c>
      <c r="I26" s="3">
        <f>'8-9 AM'!I62</f>
        <v>3</v>
      </c>
      <c r="J26" s="3">
        <f>'8-9 AM'!J62</f>
        <v>45</v>
      </c>
      <c r="K26" s="3">
        <f>'8-9 AM'!K62</f>
        <v>28</v>
      </c>
      <c r="L26" s="3">
        <f>'8-9 AM'!L62</f>
        <v>52</v>
      </c>
      <c r="M26" s="3">
        <f>'8-9 AM'!M62</f>
        <v>0</v>
      </c>
      <c r="N26" s="20">
        <f>'[1]8-9 AM'!N62</f>
        <v>185</v>
      </c>
    </row>
    <row r="27" spans="1:14" x14ac:dyDescent="0.25">
      <c r="A27" s="21" t="s">
        <v>16</v>
      </c>
      <c r="B27" s="1">
        <f t="shared" ref="B27:M27" si="1">SUM(B24:B26)</f>
        <v>150</v>
      </c>
      <c r="C27" s="1">
        <f t="shared" si="1"/>
        <v>315</v>
      </c>
      <c r="D27" s="1">
        <f t="shared" si="1"/>
        <v>262</v>
      </c>
      <c r="E27" s="1">
        <f t="shared" si="1"/>
        <v>85</v>
      </c>
      <c r="F27" s="1">
        <f t="shared" si="1"/>
        <v>73</v>
      </c>
      <c r="G27" s="1">
        <f t="shared" si="1"/>
        <v>10</v>
      </c>
      <c r="H27" s="1">
        <f t="shared" si="1"/>
        <v>1</v>
      </c>
      <c r="I27" s="1">
        <f t="shared" si="1"/>
        <v>6</v>
      </c>
      <c r="J27" s="1">
        <f t="shared" si="1"/>
        <v>116</v>
      </c>
      <c r="K27" s="1">
        <f t="shared" si="1"/>
        <v>62</v>
      </c>
      <c r="L27" s="1">
        <f t="shared" si="1"/>
        <v>124</v>
      </c>
      <c r="M27" s="1">
        <f t="shared" si="1"/>
        <v>1</v>
      </c>
      <c r="N27" s="22">
        <f>SUM(B27:M27)</f>
        <v>1205</v>
      </c>
    </row>
    <row r="28" spans="1:14" x14ac:dyDescent="0.25">
      <c r="A28" s="5"/>
    </row>
    <row r="29" spans="1:14" x14ac:dyDescent="0.25">
      <c r="A29" s="5"/>
    </row>
    <row r="30" spans="1:14" x14ac:dyDescent="0.25">
      <c r="A30" s="31" t="s">
        <v>58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3"/>
      <c r="N30" s="23"/>
    </row>
    <row r="31" spans="1:14" ht="28.5" customHeight="1" x14ac:dyDescent="0.25">
      <c r="A31" s="4" t="s">
        <v>110</v>
      </c>
      <c r="B31" s="3">
        <f>'9-10AM'!B60</f>
        <v>71</v>
      </c>
      <c r="C31" s="3">
        <f>'9-10AM'!C60</f>
        <v>50</v>
      </c>
      <c r="D31" s="3">
        <f>'9-10AM'!D60</f>
        <v>24</v>
      </c>
      <c r="E31" s="3">
        <f>'9-10AM'!E60</f>
        <v>4</v>
      </c>
      <c r="F31" s="3">
        <f>'9-10AM'!F60</f>
        <v>20</v>
      </c>
      <c r="G31" s="3">
        <f>'9-10AM'!G60</f>
        <v>1</v>
      </c>
      <c r="H31" s="3">
        <f>'9-10AM'!H60</f>
        <v>0</v>
      </c>
      <c r="I31" s="3">
        <f>'9-10AM'!I60</f>
        <v>0</v>
      </c>
      <c r="J31" s="3">
        <f>'9-10AM'!J60</f>
        <v>17</v>
      </c>
      <c r="K31" s="3">
        <f>'9-10AM'!K60</f>
        <v>3</v>
      </c>
      <c r="L31" s="3">
        <f>'9-10AM'!L60</f>
        <v>5</v>
      </c>
      <c r="M31" s="3">
        <f>'9-10AM'!M60</f>
        <v>0</v>
      </c>
      <c r="N31" s="20">
        <f>'9-10AM'!N60</f>
        <v>195</v>
      </c>
    </row>
    <row r="32" spans="1:14" ht="30.75" customHeight="1" x14ac:dyDescent="0.25">
      <c r="A32" s="4" t="s">
        <v>111</v>
      </c>
      <c r="B32" s="3">
        <f>'9-10AM'!B61</f>
        <v>51</v>
      </c>
      <c r="C32" s="3">
        <f>'9-10AM'!C61</f>
        <v>100</v>
      </c>
      <c r="D32" s="3">
        <f>'9-10AM'!D61</f>
        <v>51</v>
      </c>
      <c r="E32" s="3">
        <f>'9-10AM'!E61</f>
        <v>18</v>
      </c>
      <c r="F32" s="3">
        <f>'9-10AM'!F61</f>
        <v>12</v>
      </c>
      <c r="G32" s="3">
        <f>'9-10AM'!G61</f>
        <v>6</v>
      </c>
      <c r="H32" s="3">
        <f>'9-10AM'!H61</f>
        <v>2</v>
      </c>
      <c r="I32" s="3">
        <f>'9-10AM'!I61</f>
        <v>1</v>
      </c>
      <c r="J32" s="3">
        <f>'9-10AM'!J61</f>
        <v>58</v>
      </c>
      <c r="K32" s="3">
        <f>'9-10AM'!K61</f>
        <v>19</v>
      </c>
      <c r="L32" s="3">
        <f>'9-10AM'!L61</f>
        <v>83</v>
      </c>
      <c r="M32" s="3">
        <f>'9-10AM'!M61</f>
        <v>0</v>
      </c>
      <c r="N32" s="20">
        <f>'9-10AM'!N61</f>
        <v>401</v>
      </c>
    </row>
    <row r="33" spans="1:14" ht="32.25" customHeight="1" x14ac:dyDescent="0.25">
      <c r="A33" s="4" t="s">
        <v>112</v>
      </c>
      <c r="B33" s="3">
        <f>'9-10AM'!B62</f>
        <v>7</v>
      </c>
      <c r="C33" s="3">
        <f>'9-10AM'!C62</f>
        <v>125</v>
      </c>
      <c r="D33" s="3">
        <f>'9-10AM'!D62</f>
        <v>74</v>
      </c>
      <c r="E33" s="3">
        <f>'9-10AM'!E62</f>
        <v>30</v>
      </c>
      <c r="F33" s="3">
        <f>'9-10AM'!F62</f>
        <v>30</v>
      </c>
      <c r="G33" s="3">
        <f>'9-10AM'!G62</f>
        <v>1</v>
      </c>
      <c r="H33" s="3">
        <f>'9-10AM'!H62</f>
        <v>2</v>
      </c>
      <c r="I33" s="3">
        <f>'9-10AM'!I62</f>
        <v>1</v>
      </c>
      <c r="J33" s="3">
        <f>'9-10AM'!J62</f>
        <v>40</v>
      </c>
      <c r="K33" s="3">
        <f>'9-10AM'!K62</f>
        <v>9</v>
      </c>
      <c r="L33" s="3">
        <f>'9-10AM'!L62</f>
        <v>43</v>
      </c>
      <c r="M33" s="3">
        <f>'9-10AM'!M62</f>
        <v>0</v>
      </c>
      <c r="N33" s="20">
        <f>'9-10AM'!N62</f>
        <v>362</v>
      </c>
    </row>
    <row r="34" spans="1:14" x14ac:dyDescent="0.25">
      <c r="A34" s="21" t="s">
        <v>16</v>
      </c>
      <c r="B34" s="1">
        <f t="shared" ref="B34:M34" si="2">SUM(B31:B33)</f>
        <v>129</v>
      </c>
      <c r="C34" s="3">
        <f t="shared" si="2"/>
        <v>275</v>
      </c>
      <c r="D34" s="1">
        <f t="shared" si="2"/>
        <v>149</v>
      </c>
      <c r="E34" s="1">
        <f t="shared" si="2"/>
        <v>52</v>
      </c>
      <c r="F34" s="1">
        <f t="shared" si="2"/>
        <v>62</v>
      </c>
      <c r="G34" s="1">
        <f t="shared" si="2"/>
        <v>8</v>
      </c>
      <c r="H34" s="1">
        <f t="shared" si="2"/>
        <v>4</v>
      </c>
      <c r="I34" s="1">
        <f t="shared" si="2"/>
        <v>2</v>
      </c>
      <c r="J34" s="1">
        <f t="shared" si="2"/>
        <v>115</v>
      </c>
      <c r="K34" s="1">
        <f t="shared" si="2"/>
        <v>31</v>
      </c>
      <c r="L34" s="1">
        <f t="shared" si="2"/>
        <v>131</v>
      </c>
      <c r="M34" s="1">
        <f t="shared" si="2"/>
        <v>0</v>
      </c>
      <c r="N34" s="22">
        <f>SUM(B34:M34)</f>
        <v>958</v>
      </c>
    </row>
    <row r="35" spans="1:14" x14ac:dyDescent="0.25">
      <c r="A35" s="5"/>
    </row>
    <row r="36" spans="1:14" x14ac:dyDescent="0.25">
      <c r="A36" s="5"/>
    </row>
    <row r="37" spans="1:14" x14ac:dyDescent="0.25">
      <c r="A37" s="31" t="s">
        <v>60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3"/>
      <c r="N37" s="23"/>
    </row>
    <row r="38" spans="1:14" ht="30" x14ac:dyDescent="0.25">
      <c r="A38" s="4" t="s">
        <v>110</v>
      </c>
      <c r="B38" s="3">
        <f>'10-11AM'!B60</f>
        <v>90</v>
      </c>
      <c r="C38" s="3">
        <f>'10-11AM'!C60</f>
        <v>51</v>
      </c>
      <c r="D38" s="3">
        <f>'10-11AM'!D60</f>
        <v>23</v>
      </c>
      <c r="E38" s="3">
        <f>'10-11AM'!E60</f>
        <v>6</v>
      </c>
      <c r="F38" s="3">
        <f>'10-11AM'!F60</f>
        <v>12</v>
      </c>
      <c r="G38" s="3">
        <f>'10-11AM'!G60</f>
        <v>0</v>
      </c>
      <c r="H38" s="3">
        <f>'10-11AM'!H60</f>
        <v>1</v>
      </c>
      <c r="I38" s="3">
        <f>'10-11AM'!I60</f>
        <v>0</v>
      </c>
      <c r="J38" s="3">
        <f>'10-11AM'!J60</f>
        <v>12</v>
      </c>
      <c r="K38" s="3">
        <f>'10-11AM'!K60</f>
        <v>1</v>
      </c>
      <c r="L38" s="3">
        <f>'10-11AM'!L60</f>
        <v>3</v>
      </c>
      <c r="M38" s="3">
        <f>'10-11AM'!M60</f>
        <v>0</v>
      </c>
      <c r="N38" s="20">
        <f>'10-11AM'!N60</f>
        <v>199</v>
      </c>
    </row>
    <row r="39" spans="1:14" ht="30" x14ac:dyDescent="0.25">
      <c r="A39" s="4" t="s">
        <v>111</v>
      </c>
      <c r="B39" s="3">
        <f>'10-11AM'!B61</f>
        <v>33</v>
      </c>
      <c r="C39" s="3">
        <f>'10-11AM'!C61</f>
        <v>62</v>
      </c>
      <c r="D39" s="3">
        <f>'10-11AM'!D61</f>
        <v>48</v>
      </c>
      <c r="E39" s="3">
        <f>'10-11AM'!E61</f>
        <v>14</v>
      </c>
      <c r="F39" s="3">
        <f>'10-11AM'!F61</f>
        <v>22</v>
      </c>
      <c r="G39" s="3">
        <f>'10-11AM'!G61</f>
        <v>6</v>
      </c>
      <c r="H39" s="3">
        <f>'10-11AM'!H61</f>
        <v>1</v>
      </c>
      <c r="I39" s="3">
        <f>'10-11AM'!I61</f>
        <v>4</v>
      </c>
      <c r="J39" s="3">
        <f>'10-11AM'!J61</f>
        <v>58</v>
      </c>
      <c r="K39" s="3">
        <f>'10-11AM'!K61</f>
        <v>24</v>
      </c>
      <c r="L39" s="3">
        <f>'10-11AM'!L61</f>
        <v>97</v>
      </c>
      <c r="M39" s="3">
        <f>'10-11AM'!M61</f>
        <v>0</v>
      </c>
      <c r="N39" s="20">
        <f>'10-11AM'!N61</f>
        <v>369</v>
      </c>
    </row>
    <row r="40" spans="1:14" ht="30" x14ac:dyDescent="0.25">
      <c r="A40" s="4" t="s">
        <v>112</v>
      </c>
      <c r="B40" s="3">
        <f>'10-11AM'!B62</f>
        <v>8</v>
      </c>
      <c r="C40" s="3">
        <f>'10-11AM'!C62</f>
        <v>107</v>
      </c>
      <c r="D40" s="3">
        <f>'10-11AM'!D62</f>
        <v>84</v>
      </c>
      <c r="E40" s="3">
        <f>'10-11AM'!E62</f>
        <v>25</v>
      </c>
      <c r="F40" s="3">
        <f>'10-11AM'!F62</f>
        <v>18</v>
      </c>
      <c r="G40" s="3">
        <f>'10-11AM'!G62</f>
        <v>2</v>
      </c>
      <c r="H40" s="3">
        <f>'10-11AM'!H62</f>
        <v>1</v>
      </c>
      <c r="I40" s="3">
        <f>'10-11AM'!I62</f>
        <v>1</v>
      </c>
      <c r="J40" s="3">
        <f>'10-11AM'!J62</f>
        <v>36</v>
      </c>
      <c r="K40" s="3">
        <f>'10-11AM'!K62</f>
        <v>12</v>
      </c>
      <c r="L40" s="3">
        <f>'10-11AM'!L62</f>
        <v>50</v>
      </c>
      <c r="M40" s="3">
        <f>'10-11AM'!M62</f>
        <v>0</v>
      </c>
      <c r="N40" s="20">
        <f>'10-11AM'!N62</f>
        <v>344</v>
      </c>
    </row>
    <row r="41" spans="1:14" x14ac:dyDescent="0.25">
      <c r="A41" s="21" t="s">
        <v>16</v>
      </c>
      <c r="B41" s="1">
        <f t="shared" ref="B41:M41" si="3">SUM(B38:B40)</f>
        <v>131</v>
      </c>
      <c r="C41" s="1">
        <f t="shared" si="3"/>
        <v>220</v>
      </c>
      <c r="D41" s="1">
        <f t="shared" si="3"/>
        <v>155</v>
      </c>
      <c r="E41" s="1">
        <f t="shared" si="3"/>
        <v>45</v>
      </c>
      <c r="F41" s="1">
        <f t="shared" si="3"/>
        <v>52</v>
      </c>
      <c r="G41" s="1">
        <f t="shared" si="3"/>
        <v>8</v>
      </c>
      <c r="H41" s="1">
        <f t="shared" si="3"/>
        <v>3</v>
      </c>
      <c r="I41" s="1">
        <f t="shared" si="3"/>
        <v>5</v>
      </c>
      <c r="J41" s="1">
        <f t="shared" si="3"/>
        <v>106</v>
      </c>
      <c r="K41" s="1">
        <f t="shared" si="3"/>
        <v>37</v>
      </c>
      <c r="L41" s="1">
        <f t="shared" si="3"/>
        <v>150</v>
      </c>
      <c r="M41" s="1">
        <f t="shared" si="3"/>
        <v>0</v>
      </c>
      <c r="N41" s="22">
        <f>SUM(B41:M41)</f>
        <v>912</v>
      </c>
    </row>
    <row r="42" spans="1:14" x14ac:dyDescent="0.25">
      <c r="A42" s="5"/>
    </row>
    <row r="43" spans="1:14" x14ac:dyDescent="0.25">
      <c r="A43" s="5"/>
    </row>
    <row r="44" spans="1:14" x14ac:dyDescent="0.25">
      <c r="A44" s="31" t="s">
        <v>59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3"/>
      <c r="N44" s="23"/>
    </row>
    <row r="45" spans="1:14" ht="30" x14ac:dyDescent="0.25">
      <c r="A45" s="4" t="s">
        <v>110</v>
      </c>
      <c r="B45" s="3">
        <f>'11-12AM'!B60</f>
        <v>71</v>
      </c>
      <c r="C45" s="3">
        <f>'11-12AM'!C60</f>
        <v>37</v>
      </c>
      <c r="D45" s="3">
        <f>'11-12AM'!D60</f>
        <v>24</v>
      </c>
      <c r="E45" s="3">
        <f>'11-12AM'!E60</f>
        <v>8</v>
      </c>
      <c r="F45" s="3">
        <f>'11-12AM'!F60</f>
        <v>13</v>
      </c>
      <c r="G45" s="3">
        <f>'11-12AM'!G60</f>
        <v>1</v>
      </c>
      <c r="H45" s="3">
        <f>'11-12AM'!H60</f>
        <v>1</v>
      </c>
      <c r="I45" s="3">
        <f>'11-12AM'!I60</f>
        <v>0</v>
      </c>
      <c r="J45" s="3">
        <f>'11-12AM'!J60</f>
        <v>10</v>
      </c>
      <c r="K45" s="3">
        <f>'11-12AM'!K60</f>
        <v>7</v>
      </c>
      <c r="L45" s="3">
        <f>'11-12AM'!L60</f>
        <v>4</v>
      </c>
      <c r="M45" s="3">
        <f>'11-12AM'!M60</f>
        <v>0</v>
      </c>
      <c r="N45" s="20">
        <f>'11-12AM'!N60</f>
        <v>176</v>
      </c>
    </row>
    <row r="46" spans="1:14" ht="30" x14ac:dyDescent="0.25">
      <c r="A46" s="4" t="s">
        <v>111</v>
      </c>
      <c r="B46" s="3">
        <f>'11-12AM'!B61</f>
        <v>33</v>
      </c>
      <c r="C46" s="3">
        <f>'11-12AM'!C61</f>
        <v>39</v>
      </c>
      <c r="D46" s="3">
        <f>'11-12AM'!D61</f>
        <v>39</v>
      </c>
      <c r="E46" s="3">
        <f>'11-12AM'!E61</f>
        <v>15</v>
      </c>
      <c r="F46" s="3">
        <f>'11-12AM'!F61</f>
        <v>16</v>
      </c>
      <c r="G46" s="3">
        <f>'11-12AM'!G61</f>
        <v>5</v>
      </c>
      <c r="H46" s="3">
        <f>'11-12AM'!H61</f>
        <v>0</v>
      </c>
      <c r="I46" s="3">
        <f>'11-12AM'!I61</f>
        <v>3</v>
      </c>
      <c r="J46" s="3">
        <f>'11-12AM'!J61</f>
        <v>49</v>
      </c>
      <c r="K46" s="3">
        <f>'11-12AM'!K61</f>
        <v>35</v>
      </c>
      <c r="L46" s="3">
        <f>'11-12AM'!L61</f>
        <v>71</v>
      </c>
      <c r="M46" s="3">
        <f>'11-12AM'!M61</f>
        <v>0</v>
      </c>
      <c r="N46" s="20">
        <f>'11-12AM'!N61</f>
        <v>305</v>
      </c>
    </row>
    <row r="47" spans="1:14" ht="30" x14ac:dyDescent="0.25">
      <c r="A47" s="4" t="s">
        <v>112</v>
      </c>
      <c r="B47" s="3">
        <f>'11-12AM'!B62</f>
        <v>6</v>
      </c>
      <c r="C47" s="3">
        <f>'11-12AM'!C62</f>
        <v>94</v>
      </c>
      <c r="D47" s="3">
        <f>'11-12AM'!D62</f>
        <v>91</v>
      </c>
      <c r="E47" s="3">
        <f>'11-12AM'!E62</f>
        <v>27</v>
      </c>
      <c r="F47" s="3">
        <f>'11-12AM'!F62</f>
        <v>18</v>
      </c>
      <c r="G47" s="3">
        <f>'11-12AM'!G62</f>
        <v>0</v>
      </c>
      <c r="H47" s="3">
        <f>'11-12AM'!H62</f>
        <v>2</v>
      </c>
      <c r="I47" s="3">
        <f>'11-12AM'!I62</f>
        <v>8</v>
      </c>
      <c r="J47" s="3">
        <f>'11-12AM'!J62</f>
        <v>22</v>
      </c>
      <c r="K47" s="3">
        <f>'11-12AM'!K62</f>
        <v>15</v>
      </c>
      <c r="L47" s="3">
        <f>'11-12AM'!L62</f>
        <v>37</v>
      </c>
      <c r="M47" s="3">
        <f>'11-12AM'!M62</f>
        <v>0</v>
      </c>
      <c r="N47" s="20">
        <f>'11-12AM'!N62</f>
        <v>320</v>
      </c>
    </row>
    <row r="48" spans="1:14" x14ac:dyDescent="0.25">
      <c r="A48" s="21" t="s">
        <v>16</v>
      </c>
      <c r="B48" s="1">
        <f t="shared" ref="B48:M48" si="4">SUM(B45:B47)</f>
        <v>110</v>
      </c>
      <c r="C48" s="1">
        <f t="shared" si="4"/>
        <v>170</v>
      </c>
      <c r="D48" s="1">
        <f t="shared" si="4"/>
        <v>154</v>
      </c>
      <c r="E48" s="1">
        <f t="shared" si="4"/>
        <v>50</v>
      </c>
      <c r="F48" s="1">
        <f t="shared" si="4"/>
        <v>47</v>
      </c>
      <c r="G48" s="1">
        <f t="shared" si="4"/>
        <v>6</v>
      </c>
      <c r="H48" s="1">
        <f t="shared" si="4"/>
        <v>3</v>
      </c>
      <c r="I48" s="1">
        <f t="shared" si="4"/>
        <v>11</v>
      </c>
      <c r="J48" s="1">
        <f t="shared" si="4"/>
        <v>81</v>
      </c>
      <c r="K48" s="1">
        <f t="shared" si="4"/>
        <v>57</v>
      </c>
      <c r="L48" s="1">
        <f t="shared" si="4"/>
        <v>112</v>
      </c>
      <c r="M48" s="1">
        <f t="shared" si="4"/>
        <v>0</v>
      </c>
      <c r="N48" s="22">
        <f>SUM(B48:M48)</f>
        <v>801</v>
      </c>
    </row>
    <row r="49" spans="1:14" x14ac:dyDescent="0.25">
      <c r="A49" s="5"/>
    </row>
    <row r="50" spans="1:14" x14ac:dyDescent="0.25">
      <c r="A50" s="5"/>
    </row>
    <row r="51" spans="1:14" x14ac:dyDescent="0.25">
      <c r="A51" s="31" t="s">
        <v>61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3"/>
      <c r="N51" s="23"/>
    </row>
    <row r="52" spans="1:14" ht="30" x14ac:dyDescent="0.25">
      <c r="A52" s="4" t="s">
        <v>110</v>
      </c>
      <c r="B52" s="3">
        <f>'12-1PM'!B60</f>
        <v>81</v>
      </c>
      <c r="C52" s="3">
        <f>'12-1PM'!C60</f>
        <v>45</v>
      </c>
      <c r="D52" s="3">
        <f>'12-1PM'!D60</f>
        <v>21</v>
      </c>
      <c r="E52" s="3">
        <f>'12-1PM'!E60</f>
        <v>16</v>
      </c>
      <c r="F52" s="3">
        <f>'12-1PM'!F60</f>
        <v>10</v>
      </c>
      <c r="G52" s="3">
        <f>'12-1PM'!G60</f>
        <v>1</v>
      </c>
      <c r="H52" s="3">
        <f>'12-1PM'!H60</f>
        <v>0</v>
      </c>
      <c r="I52" s="3">
        <f>'12-1PM'!I60</f>
        <v>1</v>
      </c>
      <c r="J52" s="3">
        <f>'12-1PM'!J60</f>
        <v>10</v>
      </c>
      <c r="K52" s="3">
        <f>'12-1PM'!K60</f>
        <v>4</v>
      </c>
      <c r="L52" s="3">
        <f>'12-1PM'!L60</f>
        <v>4</v>
      </c>
      <c r="M52" s="3">
        <f>'12-1PM'!M60</f>
        <v>0</v>
      </c>
      <c r="N52" s="20">
        <f>'12-1PM'!N60</f>
        <v>193</v>
      </c>
    </row>
    <row r="53" spans="1:14" ht="30" x14ac:dyDescent="0.25">
      <c r="A53" s="4" t="s">
        <v>111</v>
      </c>
      <c r="B53" s="3">
        <f>'12-1PM'!B61</f>
        <v>31</v>
      </c>
      <c r="C53" s="3">
        <f>'12-1PM'!C61</f>
        <v>63</v>
      </c>
      <c r="D53" s="3">
        <f>'12-1PM'!D61</f>
        <v>44</v>
      </c>
      <c r="E53" s="3">
        <f>'12-1PM'!E61</f>
        <v>20</v>
      </c>
      <c r="F53" s="3">
        <f>'12-1PM'!F61</f>
        <v>15</v>
      </c>
      <c r="G53" s="3">
        <f>'12-1PM'!G61</f>
        <v>1</v>
      </c>
      <c r="H53" s="3">
        <f>'12-1PM'!H61</f>
        <v>0</v>
      </c>
      <c r="I53" s="3">
        <f>'12-1PM'!I61</f>
        <v>1</v>
      </c>
      <c r="J53" s="3">
        <f>'12-1PM'!J61</f>
        <v>57</v>
      </c>
      <c r="K53" s="3">
        <f>'12-1PM'!K61</f>
        <v>30</v>
      </c>
      <c r="L53" s="3">
        <f>'12-1PM'!L61</f>
        <v>89</v>
      </c>
      <c r="M53" s="3">
        <f>'12-1PM'!M61</f>
        <v>0</v>
      </c>
      <c r="N53" s="20">
        <f>'12-1PM'!N61</f>
        <v>351</v>
      </c>
    </row>
    <row r="54" spans="1:14" ht="30" x14ac:dyDescent="0.25">
      <c r="A54" s="4" t="s">
        <v>112</v>
      </c>
      <c r="B54" s="3">
        <f>'12-1PM'!B62</f>
        <v>5</v>
      </c>
      <c r="C54" s="3">
        <f>'12-1PM'!C62</f>
        <v>86</v>
      </c>
      <c r="D54" s="3">
        <f>'12-1PM'!D62</f>
        <v>63</v>
      </c>
      <c r="E54" s="3">
        <f>'12-1PM'!E62</f>
        <v>20</v>
      </c>
      <c r="F54" s="3">
        <f>'12-1PM'!F62</f>
        <v>20</v>
      </c>
      <c r="G54" s="3">
        <f>'12-1PM'!G62</f>
        <v>1</v>
      </c>
      <c r="H54" s="3">
        <f>'12-1PM'!H62</f>
        <v>0</v>
      </c>
      <c r="I54" s="3">
        <f>'12-1PM'!I62</f>
        <v>2</v>
      </c>
      <c r="J54" s="3">
        <f>'12-1PM'!J62</f>
        <v>20</v>
      </c>
      <c r="K54" s="3">
        <f>'12-1PM'!K62</f>
        <v>7</v>
      </c>
      <c r="L54" s="3">
        <f>'12-1PM'!L62</f>
        <v>41</v>
      </c>
      <c r="M54" s="3">
        <f>'12-1PM'!M62</f>
        <v>0</v>
      </c>
      <c r="N54" s="20">
        <f>'12-1PM'!N62</f>
        <v>265</v>
      </c>
    </row>
    <row r="55" spans="1:14" x14ac:dyDescent="0.25">
      <c r="A55" s="21" t="s">
        <v>16</v>
      </c>
      <c r="B55" s="1">
        <f t="shared" ref="B55:M55" si="5">SUM(B52:B54)</f>
        <v>117</v>
      </c>
      <c r="C55" s="1">
        <f t="shared" si="5"/>
        <v>194</v>
      </c>
      <c r="D55" s="1">
        <f t="shared" si="5"/>
        <v>128</v>
      </c>
      <c r="E55" s="1">
        <f t="shared" si="5"/>
        <v>56</v>
      </c>
      <c r="F55" s="1">
        <f t="shared" si="5"/>
        <v>45</v>
      </c>
      <c r="G55" s="1">
        <f t="shared" si="5"/>
        <v>3</v>
      </c>
      <c r="H55" s="1">
        <f t="shared" si="5"/>
        <v>0</v>
      </c>
      <c r="I55" s="1">
        <f t="shared" si="5"/>
        <v>4</v>
      </c>
      <c r="J55" s="1">
        <f t="shared" si="5"/>
        <v>87</v>
      </c>
      <c r="K55" s="1">
        <f t="shared" si="5"/>
        <v>41</v>
      </c>
      <c r="L55" s="1">
        <f t="shared" si="5"/>
        <v>134</v>
      </c>
      <c r="M55" s="1">
        <f t="shared" si="5"/>
        <v>0</v>
      </c>
      <c r="N55" s="22">
        <f>SUM(B55:M55)</f>
        <v>809</v>
      </c>
    </row>
    <row r="56" spans="1:14" x14ac:dyDescent="0.25">
      <c r="A56" s="5"/>
    </row>
    <row r="57" spans="1:14" x14ac:dyDescent="0.25">
      <c r="A57" s="5"/>
    </row>
    <row r="58" spans="1:14" x14ac:dyDescent="0.25">
      <c r="A58" s="31" t="s">
        <v>62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3"/>
      <c r="N58" s="23"/>
    </row>
    <row r="59" spans="1:14" ht="30" x14ac:dyDescent="0.25">
      <c r="A59" s="4" t="s">
        <v>110</v>
      </c>
      <c r="B59" s="3">
        <f>'1-2PM'!B60</f>
        <v>69</v>
      </c>
      <c r="C59" s="3">
        <f>'1-2PM'!C60</f>
        <v>45</v>
      </c>
      <c r="D59" s="3">
        <f>'1-2PM'!D60</f>
        <v>19</v>
      </c>
      <c r="E59" s="3">
        <f>'1-2PM'!E60</f>
        <v>5</v>
      </c>
      <c r="F59" s="3">
        <f>'1-2PM'!F60</f>
        <v>14</v>
      </c>
      <c r="G59" s="3">
        <f>'1-2PM'!G60</f>
        <v>0</v>
      </c>
      <c r="H59" s="3">
        <f>'1-2PM'!H60</f>
        <v>0</v>
      </c>
      <c r="I59" s="3">
        <f>'1-2PM'!I60</f>
        <v>0</v>
      </c>
      <c r="J59" s="3">
        <f>'1-2PM'!J60</f>
        <v>11</v>
      </c>
      <c r="K59" s="3">
        <f>'1-2PM'!K60</f>
        <v>1</v>
      </c>
      <c r="L59" s="3">
        <f>'1-2PM'!L60</f>
        <v>4</v>
      </c>
      <c r="M59" s="3">
        <f>'1-2PM'!M60</f>
        <v>1</v>
      </c>
      <c r="N59" s="20">
        <f>'1-2PM'!N60</f>
        <v>169</v>
      </c>
    </row>
    <row r="60" spans="1:14" ht="30" x14ac:dyDescent="0.25">
      <c r="A60" s="4" t="s">
        <v>111</v>
      </c>
      <c r="B60" s="3">
        <f>'1-2PM'!B61</f>
        <v>25</v>
      </c>
      <c r="C60" s="3">
        <f>'1-2PM'!C61</f>
        <v>58</v>
      </c>
      <c r="D60" s="3">
        <f>'1-2PM'!D61</f>
        <v>36</v>
      </c>
      <c r="E60" s="3">
        <f>'1-2PM'!E61</f>
        <v>13</v>
      </c>
      <c r="F60" s="3">
        <f>'1-2PM'!F61</f>
        <v>13</v>
      </c>
      <c r="G60" s="3">
        <f>'1-2PM'!G61</f>
        <v>2</v>
      </c>
      <c r="H60" s="3">
        <f>'1-2PM'!H61</f>
        <v>4</v>
      </c>
      <c r="I60" s="3">
        <f>'1-2PM'!I61</f>
        <v>0</v>
      </c>
      <c r="J60" s="3">
        <f>'1-2PM'!J61</f>
        <v>44</v>
      </c>
      <c r="K60" s="3">
        <f>'1-2PM'!K61</f>
        <v>25</v>
      </c>
      <c r="L60" s="3">
        <f>'1-2PM'!L61</f>
        <v>90</v>
      </c>
      <c r="M60" s="3">
        <f>'1-2PM'!M61</f>
        <v>0</v>
      </c>
      <c r="N60" s="20">
        <f>'1-2PM'!N61</f>
        <v>310</v>
      </c>
    </row>
    <row r="61" spans="1:14" ht="30" x14ac:dyDescent="0.25">
      <c r="A61" s="4" t="s">
        <v>112</v>
      </c>
      <c r="B61" s="3">
        <f>'1-2PM'!B62</f>
        <v>4</v>
      </c>
      <c r="C61" s="3">
        <f>'1-2PM'!C62</f>
        <v>77</v>
      </c>
      <c r="D61" s="3">
        <f>'1-2PM'!D62</f>
        <v>49</v>
      </c>
      <c r="E61" s="3">
        <f>'1-2PM'!E62</f>
        <v>21</v>
      </c>
      <c r="F61" s="3">
        <f>'1-2PM'!F62</f>
        <v>14</v>
      </c>
      <c r="G61" s="3">
        <f>'1-2PM'!G62</f>
        <v>0</v>
      </c>
      <c r="H61" s="3">
        <f>'1-2PM'!H62</f>
        <v>0</v>
      </c>
      <c r="I61" s="3">
        <f>'1-2PM'!I62</f>
        <v>2</v>
      </c>
      <c r="J61" s="3">
        <f>'1-2PM'!J62</f>
        <v>40</v>
      </c>
      <c r="K61" s="3">
        <f>'1-2PM'!K62</f>
        <v>10</v>
      </c>
      <c r="L61" s="3">
        <f>'1-2PM'!L62</f>
        <v>57</v>
      </c>
      <c r="M61" s="3">
        <f>'1-2PM'!M62</f>
        <v>0</v>
      </c>
      <c r="N61" s="20">
        <f>'1-2PM'!N62</f>
        <v>274</v>
      </c>
    </row>
    <row r="62" spans="1:14" x14ac:dyDescent="0.25">
      <c r="A62" s="21" t="s">
        <v>16</v>
      </c>
      <c r="B62" s="1">
        <f t="shared" ref="B62:M62" si="6">SUM(B59:B61)</f>
        <v>98</v>
      </c>
      <c r="C62" s="1">
        <f t="shared" si="6"/>
        <v>180</v>
      </c>
      <c r="D62" s="1">
        <f t="shared" si="6"/>
        <v>104</v>
      </c>
      <c r="E62" s="1">
        <f t="shared" si="6"/>
        <v>39</v>
      </c>
      <c r="F62" s="1">
        <f t="shared" si="6"/>
        <v>41</v>
      </c>
      <c r="G62" s="1">
        <f t="shared" si="6"/>
        <v>2</v>
      </c>
      <c r="H62" s="1">
        <f t="shared" si="6"/>
        <v>4</v>
      </c>
      <c r="I62" s="1">
        <f t="shared" si="6"/>
        <v>2</v>
      </c>
      <c r="J62" s="1">
        <f t="shared" si="6"/>
        <v>95</v>
      </c>
      <c r="K62" s="1">
        <f t="shared" si="6"/>
        <v>36</v>
      </c>
      <c r="L62" s="1">
        <f t="shared" si="6"/>
        <v>151</v>
      </c>
      <c r="M62" s="1">
        <f t="shared" si="6"/>
        <v>1</v>
      </c>
      <c r="N62" s="22">
        <f>SUM(B62:M62)</f>
        <v>753</v>
      </c>
    </row>
    <row r="63" spans="1:14" x14ac:dyDescent="0.25">
      <c r="A63" s="5"/>
    </row>
    <row r="64" spans="1:14" x14ac:dyDescent="0.25">
      <c r="A64" s="5"/>
    </row>
    <row r="65" spans="1:14" x14ac:dyDescent="0.25">
      <c r="A65" s="31" t="s">
        <v>63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3"/>
      <c r="N65" s="23"/>
    </row>
    <row r="66" spans="1:14" ht="30" x14ac:dyDescent="0.25">
      <c r="A66" s="4" t="s">
        <v>110</v>
      </c>
      <c r="B66" s="3">
        <f>'2-3PM'!B60</f>
        <v>66</v>
      </c>
      <c r="C66" s="3">
        <f>'2-3PM'!C60</f>
        <v>52</v>
      </c>
      <c r="D66" s="3">
        <f>'2-3PM'!D60</f>
        <v>36</v>
      </c>
      <c r="E66" s="3">
        <f>'2-3PM'!E60</f>
        <v>8</v>
      </c>
      <c r="F66" s="3">
        <f>'2-3PM'!F60</f>
        <v>12</v>
      </c>
      <c r="G66" s="3">
        <f>'2-3PM'!G60</f>
        <v>2</v>
      </c>
      <c r="H66" s="3">
        <f>'2-3PM'!H60</f>
        <v>0</v>
      </c>
      <c r="I66" s="3">
        <f>'2-3PM'!I60</f>
        <v>2</v>
      </c>
      <c r="J66" s="3">
        <f>'2-3PM'!J60</f>
        <v>8</v>
      </c>
      <c r="K66" s="3">
        <f>'2-3PM'!K60</f>
        <v>2</v>
      </c>
      <c r="L66" s="3">
        <f>'2-3PM'!L60</f>
        <v>3</v>
      </c>
      <c r="M66" s="3">
        <f>'2-3PM'!M60</f>
        <v>1</v>
      </c>
      <c r="N66" s="20">
        <f>'2-3PM'!N60</f>
        <v>192</v>
      </c>
    </row>
    <row r="67" spans="1:14" ht="30" x14ac:dyDescent="0.25">
      <c r="A67" s="4" t="s">
        <v>111</v>
      </c>
      <c r="B67" s="3">
        <f>'2-3PM'!B61</f>
        <v>38</v>
      </c>
      <c r="C67" s="3">
        <f>'2-3PM'!C61</f>
        <v>81</v>
      </c>
      <c r="D67" s="3">
        <f>'2-3PM'!D61</f>
        <v>56</v>
      </c>
      <c r="E67" s="3">
        <f>'2-3PM'!E61</f>
        <v>23</v>
      </c>
      <c r="F67" s="3">
        <f>'2-3PM'!F61</f>
        <v>20</v>
      </c>
      <c r="G67" s="3">
        <f>'2-3PM'!G61</f>
        <v>12</v>
      </c>
      <c r="H67" s="3">
        <f>'2-3PM'!H61</f>
        <v>3</v>
      </c>
      <c r="I67" s="3">
        <f>'2-3PM'!I61</f>
        <v>5</v>
      </c>
      <c r="J67" s="3">
        <f>'2-3PM'!J61</f>
        <v>58</v>
      </c>
      <c r="K67" s="3">
        <f>'2-3PM'!K61</f>
        <v>42</v>
      </c>
      <c r="L67" s="3">
        <f>'2-3PM'!L61</f>
        <v>96</v>
      </c>
      <c r="M67" s="3">
        <f>'2-3PM'!M61</f>
        <v>0</v>
      </c>
      <c r="N67" s="20">
        <f>'2-3PM'!N61</f>
        <v>434</v>
      </c>
    </row>
    <row r="68" spans="1:14" ht="30" x14ac:dyDescent="0.25">
      <c r="A68" s="4" t="s">
        <v>112</v>
      </c>
      <c r="B68" s="3">
        <f>'2-3PM'!B62</f>
        <v>6</v>
      </c>
      <c r="C68" s="3">
        <f>'2-3PM'!C62</f>
        <v>75</v>
      </c>
      <c r="D68" s="3">
        <f>'2-3PM'!D62</f>
        <v>64</v>
      </c>
      <c r="E68" s="3">
        <f>'2-3PM'!E62</f>
        <v>29</v>
      </c>
      <c r="F68" s="3">
        <f>'2-3PM'!F62</f>
        <v>19</v>
      </c>
      <c r="G68" s="3">
        <f>'2-3PM'!G62</f>
        <v>0</v>
      </c>
      <c r="H68" s="3">
        <f>'2-3PM'!H62</f>
        <v>0</v>
      </c>
      <c r="I68" s="3">
        <f>'2-3PM'!I62</f>
        <v>2</v>
      </c>
      <c r="J68" s="3">
        <f>'2-3PM'!J62</f>
        <v>41</v>
      </c>
      <c r="K68" s="3">
        <f>'2-3PM'!K62</f>
        <v>7</v>
      </c>
      <c r="L68" s="3">
        <f>'2-3PM'!L62</f>
        <v>34</v>
      </c>
      <c r="M68" s="3">
        <f>'2-3PM'!M62</f>
        <v>0</v>
      </c>
      <c r="N68" s="20">
        <f>'2-3PM'!N62</f>
        <v>277</v>
      </c>
    </row>
    <row r="69" spans="1:14" x14ac:dyDescent="0.25">
      <c r="A69" s="21" t="s">
        <v>16</v>
      </c>
      <c r="B69" s="1">
        <f t="shared" ref="B69:M69" si="7">SUM(B66:B68)</f>
        <v>110</v>
      </c>
      <c r="C69" s="1">
        <f t="shared" si="7"/>
        <v>208</v>
      </c>
      <c r="D69" s="1">
        <f t="shared" si="7"/>
        <v>156</v>
      </c>
      <c r="E69" s="1">
        <f t="shared" si="7"/>
        <v>60</v>
      </c>
      <c r="F69" s="1">
        <f t="shared" si="7"/>
        <v>51</v>
      </c>
      <c r="G69" s="1">
        <f t="shared" si="7"/>
        <v>14</v>
      </c>
      <c r="H69" s="1">
        <f t="shared" si="7"/>
        <v>3</v>
      </c>
      <c r="I69" s="1">
        <f t="shared" si="7"/>
        <v>9</v>
      </c>
      <c r="J69" s="1">
        <f t="shared" si="7"/>
        <v>107</v>
      </c>
      <c r="K69" s="1">
        <f t="shared" si="7"/>
        <v>51</v>
      </c>
      <c r="L69" s="1">
        <f t="shared" si="7"/>
        <v>133</v>
      </c>
      <c r="M69" s="1">
        <f t="shared" si="7"/>
        <v>1</v>
      </c>
      <c r="N69" s="22">
        <f>SUM(B69:M69)</f>
        <v>903</v>
      </c>
    </row>
    <row r="70" spans="1:14" x14ac:dyDescent="0.25">
      <c r="A70" s="5"/>
    </row>
    <row r="71" spans="1:14" x14ac:dyDescent="0.25">
      <c r="A71" s="5"/>
    </row>
    <row r="72" spans="1:14" x14ac:dyDescent="0.25">
      <c r="A72" s="31" t="s">
        <v>64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3"/>
      <c r="N72" s="23"/>
    </row>
    <row r="73" spans="1:14" ht="30" x14ac:dyDescent="0.25">
      <c r="A73" s="4" t="s">
        <v>110</v>
      </c>
      <c r="B73" s="3">
        <f>'3-4PM'!B60</f>
        <v>88</v>
      </c>
      <c r="C73" s="3">
        <f>'3-4PM'!C60</f>
        <v>86</v>
      </c>
      <c r="D73" s="3">
        <f>'3-4PM'!D60</f>
        <v>39</v>
      </c>
      <c r="E73" s="3">
        <f>'3-4PM'!E60</f>
        <v>16</v>
      </c>
      <c r="F73" s="3">
        <f>'3-4PM'!F60</f>
        <v>16</v>
      </c>
      <c r="G73" s="3">
        <f>'3-4PM'!G60</f>
        <v>3</v>
      </c>
      <c r="H73" s="3">
        <f>'3-4PM'!H60</f>
        <v>1</v>
      </c>
      <c r="I73" s="3">
        <f>'3-4PM'!I60</f>
        <v>3</v>
      </c>
      <c r="J73" s="3">
        <f>'3-4PM'!J60</f>
        <v>17</v>
      </c>
      <c r="K73" s="3">
        <f>'3-4PM'!K60</f>
        <v>4</v>
      </c>
      <c r="L73" s="3">
        <f>'3-4PM'!L60</f>
        <v>8</v>
      </c>
      <c r="M73" s="3">
        <f>'3-4PM'!M60</f>
        <v>0</v>
      </c>
      <c r="N73" s="20">
        <f>'3-4PM'!N60</f>
        <v>281</v>
      </c>
    </row>
    <row r="74" spans="1:14" ht="30" x14ac:dyDescent="0.25">
      <c r="A74" s="4" t="s">
        <v>111</v>
      </c>
      <c r="B74" s="3">
        <f>'3-4PM'!B61</f>
        <v>25</v>
      </c>
      <c r="C74" s="3">
        <f>'3-4PM'!C61</f>
        <v>70</v>
      </c>
      <c r="D74" s="3">
        <f>'3-4PM'!D61</f>
        <v>40</v>
      </c>
      <c r="E74" s="3">
        <f>'3-4PM'!E61</f>
        <v>20</v>
      </c>
      <c r="F74" s="3">
        <f>'3-4PM'!F61</f>
        <v>18</v>
      </c>
      <c r="G74" s="3">
        <f>'3-4PM'!G61</f>
        <v>4</v>
      </c>
      <c r="H74" s="3">
        <f>'3-4PM'!H61</f>
        <v>3</v>
      </c>
      <c r="I74" s="3">
        <f>'3-4PM'!I61</f>
        <v>8</v>
      </c>
      <c r="J74" s="3">
        <f>'3-4PM'!J61</f>
        <v>45</v>
      </c>
      <c r="K74" s="3">
        <f>'3-4PM'!K61</f>
        <v>21</v>
      </c>
      <c r="L74" s="3">
        <f>'3-4PM'!L61</f>
        <v>84</v>
      </c>
      <c r="M74" s="3">
        <f>'3-4PM'!M61</f>
        <v>0</v>
      </c>
      <c r="N74" s="20">
        <f>'3-4PM'!N61</f>
        <v>338</v>
      </c>
    </row>
    <row r="75" spans="1:14" ht="30" x14ac:dyDescent="0.25">
      <c r="A75" s="4" t="s">
        <v>112</v>
      </c>
      <c r="B75" s="3">
        <f>'3-4PM'!B62</f>
        <v>8</v>
      </c>
      <c r="C75" s="3">
        <f>'3-4PM'!C62</f>
        <v>148</v>
      </c>
      <c r="D75" s="3">
        <f>'3-4PM'!D62</f>
        <v>113</v>
      </c>
      <c r="E75" s="3">
        <f>'3-4PM'!E62</f>
        <v>51</v>
      </c>
      <c r="F75" s="3">
        <f>'3-4PM'!F62</f>
        <v>22</v>
      </c>
      <c r="G75" s="3">
        <f>'3-4PM'!G62</f>
        <v>4</v>
      </c>
      <c r="H75" s="3">
        <f>'3-4PM'!H62</f>
        <v>7</v>
      </c>
      <c r="I75" s="3">
        <f>'3-4PM'!I62</f>
        <v>3</v>
      </c>
      <c r="J75" s="3">
        <f>'3-4PM'!J62</f>
        <v>82</v>
      </c>
      <c r="K75" s="3">
        <f>'3-4PM'!K62</f>
        <v>19</v>
      </c>
      <c r="L75" s="3">
        <f>'3-4PM'!L62</f>
        <v>94</v>
      </c>
      <c r="M75" s="3">
        <f>'3-4PM'!M62</f>
        <v>0</v>
      </c>
      <c r="N75" s="20">
        <f>'3-4PM'!N62</f>
        <v>551</v>
      </c>
    </row>
    <row r="76" spans="1:14" ht="18.75" customHeight="1" x14ac:dyDescent="0.25">
      <c r="A76" s="21" t="s">
        <v>16</v>
      </c>
      <c r="B76" s="1">
        <f t="shared" ref="B76:M76" si="8">SUM(B73:B75)</f>
        <v>121</v>
      </c>
      <c r="C76" s="1">
        <f t="shared" si="8"/>
        <v>304</v>
      </c>
      <c r="D76" s="1">
        <f t="shared" si="8"/>
        <v>192</v>
      </c>
      <c r="E76" s="1">
        <f t="shared" si="8"/>
        <v>87</v>
      </c>
      <c r="F76" s="1">
        <f t="shared" si="8"/>
        <v>56</v>
      </c>
      <c r="G76" s="1">
        <f t="shared" si="8"/>
        <v>11</v>
      </c>
      <c r="H76" s="1">
        <f t="shared" si="8"/>
        <v>11</v>
      </c>
      <c r="I76" s="1">
        <f t="shared" si="8"/>
        <v>14</v>
      </c>
      <c r="J76" s="1">
        <f t="shared" si="8"/>
        <v>144</v>
      </c>
      <c r="K76" s="1">
        <f t="shared" si="8"/>
        <v>44</v>
      </c>
      <c r="L76" s="1">
        <f t="shared" si="8"/>
        <v>186</v>
      </c>
      <c r="M76" s="1">
        <f t="shared" si="8"/>
        <v>0</v>
      </c>
      <c r="N76" s="22">
        <f>SUM(B76:M76)</f>
        <v>1170</v>
      </c>
    </row>
    <row r="77" spans="1:14" x14ac:dyDescent="0.25">
      <c r="A77" s="5"/>
    </row>
    <row r="78" spans="1:14" x14ac:dyDescent="0.25">
      <c r="A78" s="5"/>
    </row>
    <row r="79" spans="1:14" x14ac:dyDescent="0.25">
      <c r="A79" s="40" t="s">
        <v>65</v>
      </c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2"/>
      <c r="N79" s="6"/>
    </row>
    <row r="80" spans="1:14" ht="30" x14ac:dyDescent="0.25">
      <c r="A80" s="4" t="s">
        <v>110</v>
      </c>
      <c r="B80" s="3">
        <f>'4-5PM'!B60</f>
        <v>94</v>
      </c>
      <c r="C80" s="3">
        <f>'4-5PM'!C60</f>
        <v>69</v>
      </c>
      <c r="D80" s="3">
        <f>'4-5PM'!D60</f>
        <v>34</v>
      </c>
      <c r="E80" s="3">
        <f>'4-5PM'!E60</f>
        <v>15</v>
      </c>
      <c r="F80" s="3">
        <f>'4-5PM'!F60</f>
        <v>16</v>
      </c>
      <c r="G80" s="3">
        <f>'4-5PM'!G60</f>
        <v>4</v>
      </c>
      <c r="H80" s="3">
        <f>'4-5PM'!H60</f>
        <v>0</v>
      </c>
      <c r="I80" s="3">
        <f>'4-5PM'!I60</f>
        <v>0</v>
      </c>
      <c r="J80" s="3">
        <f>'4-5PM'!J60</f>
        <v>10</v>
      </c>
      <c r="K80" s="3">
        <f>'4-5PM'!K60</f>
        <v>1</v>
      </c>
      <c r="L80" s="3">
        <f>'4-5PM'!L60</f>
        <v>5</v>
      </c>
      <c r="M80" s="3">
        <f>'4-5PM'!M60</f>
        <v>1</v>
      </c>
      <c r="N80" s="20">
        <f>'4-5PM'!N60</f>
        <v>249</v>
      </c>
    </row>
    <row r="81" spans="1:14" ht="30" x14ac:dyDescent="0.25">
      <c r="A81" s="4" t="s">
        <v>111</v>
      </c>
      <c r="B81" s="3">
        <f>'4-5PM'!B61</f>
        <v>16</v>
      </c>
      <c r="C81" s="3">
        <f>'4-5PM'!C61</f>
        <v>51</v>
      </c>
      <c r="D81" s="3">
        <f>'4-5PM'!D61</f>
        <v>29</v>
      </c>
      <c r="E81" s="3">
        <f>'4-5PM'!E61</f>
        <v>17</v>
      </c>
      <c r="F81" s="3">
        <f>'4-5PM'!F61</f>
        <v>13</v>
      </c>
      <c r="G81" s="3">
        <f>'4-5PM'!G61</f>
        <v>15</v>
      </c>
      <c r="H81" s="3">
        <f>'4-5PM'!H61</f>
        <v>5</v>
      </c>
      <c r="I81" s="3">
        <f>'4-5PM'!I61</f>
        <v>0</v>
      </c>
      <c r="J81" s="3">
        <f>'4-5PM'!J61</f>
        <v>27</v>
      </c>
      <c r="K81" s="3">
        <f>'4-5PM'!K61</f>
        <v>28</v>
      </c>
      <c r="L81" s="3">
        <f>'4-5PM'!L61</f>
        <v>72</v>
      </c>
      <c r="M81" s="3">
        <f>'4-5PM'!M61</f>
        <v>0</v>
      </c>
      <c r="N81" s="20">
        <f>'4-5PM'!N61</f>
        <v>273</v>
      </c>
    </row>
    <row r="82" spans="1:14" ht="30" x14ac:dyDescent="0.25">
      <c r="A82" s="4" t="s">
        <v>112</v>
      </c>
      <c r="B82" s="3">
        <f>'4-5PM'!B62</f>
        <v>11</v>
      </c>
      <c r="C82" s="3">
        <f>'4-5PM'!C62</f>
        <v>112</v>
      </c>
      <c r="D82" s="3">
        <f>'4-5PM'!D62</f>
        <v>72</v>
      </c>
      <c r="E82" s="3">
        <f>'4-5PM'!E62</f>
        <v>36</v>
      </c>
      <c r="F82" s="3">
        <f>'4-5PM'!F62</f>
        <v>26</v>
      </c>
      <c r="G82" s="3">
        <f>'4-5PM'!G62</f>
        <v>4</v>
      </c>
      <c r="H82" s="3">
        <f>'4-5PM'!H62</f>
        <v>0</v>
      </c>
      <c r="I82" s="3">
        <f>'4-5PM'!I62</f>
        <v>4</v>
      </c>
      <c r="J82" s="3">
        <f>'4-5PM'!J62</f>
        <v>54</v>
      </c>
      <c r="K82" s="3">
        <f>'4-5PM'!K62</f>
        <v>18</v>
      </c>
      <c r="L82" s="3">
        <f>'4-5PM'!L62</f>
        <v>64</v>
      </c>
      <c r="M82" s="3">
        <f>'4-5PM'!M62</f>
        <v>0</v>
      </c>
      <c r="N82" s="20">
        <f>'4-5PM'!N62</f>
        <v>401</v>
      </c>
    </row>
    <row r="83" spans="1:14" x14ac:dyDescent="0.25">
      <c r="A83" s="21" t="s">
        <v>16</v>
      </c>
      <c r="B83" s="1">
        <f t="shared" ref="B83:M83" si="9">SUM(B80:B82)</f>
        <v>121</v>
      </c>
      <c r="C83" s="1">
        <f t="shared" si="9"/>
        <v>232</v>
      </c>
      <c r="D83" s="1">
        <f t="shared" si="9"/>
        <v>135</v>
      </c>
      <c r="E83" s="1">
        <f t="shared" si="9"/>
        <v>68</v>
      </c>
      <c r="F83" s="1">
        <f t="shared" si="9"/>
        <v>55</v>
      </c>
      <c r="G83" s="1">
        <f t="shared" si="9"/>
        <v>23</v>
      </c>
      <c r="H83" s="1">
        <f t="shared" si="9"/>
        <v>5</v>
      </c>
      <c r="I83" s="1">
        <f t="shared" si="9"/>
        <v>4</v>
      </c>
      <c r="J83" s="1">
        <f t="shared" si="9"/>
        <v>91</v>
      </c>
      <c r="K83" s="1">
        <f t="shared" si="9"/>
        <v>47</v>
      </c>
      <c r="L83" s="1">
        <f t="shared" si="9"/>
        <v>141</v>
      </c>
      <c r="M83" s="1">
        <f t="shared" si="9"/>
        <v>1</v>
      </c>
      <c r="N83" s="22">
        <f>SUM(B83:M83)</f>
        <v>923</v>
      </c>
    </row>
    <row r="84" spans="1:14" x14ac:dyDescent="0.25">
      <c r="A84" s="5"/>
    </row>
    <row r="85" spans="1:14" x14ac:dyDescent="0.25">
      <c r="A85" s="5"/>
    </row>
    <row r="86" spans="1:14" x14ac:dyDescent="0.25">
      <c r="A86" s="40" t="s">
        <v>66</v>
      </c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2"/>
      <c r="N86" s="6"/>
    </row>
    <row r="87" spans="1:14" ht="30" x14ac:dyDescent="0.25">
      <c r="A87" s="4" t="s">
        <v>110</v>
      </c>
      <c r="B87" s="3">
        <f>'5-6PM '!B60</f>
        <v>94</v>
      </c>
      <c r="C87" s="3">
        <f>'5-6PM '!C60</f>
        <v>94</v>
      </c>
      <c r="D87" s="3">
        <f>'5-6PM '!D60</f>
        <v>48</v>
      </c>
      <c r="E87" s="3">
        <f>'5-6PM '!E60</f>
        <v>18</v>
      </c>
      <c r="F87" s="3">
        <f>'5-6PM '!F60</f>
        <v>19</v>
      </c>
      <c r="G87" s="3">
        <f>'5-6PM '!G60</f>
        <v>1</v>
      </c>
      <c r="H87" s="3">
        <f>'5-6PM '!H60</f>
        <v>2</v>
      </c>
      <c r="I87" s="3">
        <f>'5-6PM '!I60</f>
        <v>3</v>
      </c>
      <c r="J87" s="3">
        <f>'5-6PM '!J60</f>
        <v>8</v>
      </c>
      <c r="K87" s="3">
        <f>'5-6PM '!K60</f>
        <v>5</v>
      </c>
      <c r="L87" s="3">
        <f>'5-6PM '!L60</f>
        <v>2</v>
      </c>
      <c r="M87" s="3">
        <f>'5-6PM '!M60</f>
        <v>0</v>
      </c>
      <c r="N87" s="20">
        <f>'5-6PM '!N60</f>
        <v>294</v>
      </c>
    </row>
    <row r="88" spans="1:14" ht="30" x14ac:dyDescent="0.25">
      <c r="A88" s="4" t="s">
        <v>111</v>
      </c>
      <c r="B88" s="3">
        <f>'5-6PM '!B61</f>
        <v>37</v>
      </c>
      <c r="C88" s="3">
        <f>'5-6PM '!C61</f>
        <v>77</v>
      </c>
      <c r="D88" s="3">
        <f>'5-6PM '!D61</f>
        <v>48</v>
      </c>
      <c r="E88" s="3">
        <f>'5-6PM '!E61</f>
        <v>29</v>
      </c>
      <c r="F88" s="3">
        <f>'5-6PM '!F61</f>
        <v>16</v>
      </c>
      <c r="G88" s="3">
        <f>'5-6PM '!G61</f>
        <v>8</v>
      </c>
      <c r="H88" s="3">
        <f>'5-6PM '!H61</f>
        <v>6</v>
      </c>
      <c r="I88" s="3">
        <f>'5-6PM '!I61</f>
        <v>0</v>
      </c>
      <c r="J88" s="3">
        <f>'5-6PM '!J61</f>
        <v>28</v>
      </c>
      <c r="K88" s="3">
        <f>'5-6PM '!K61</f>
        <v>16</v>
      </c>
      <c r="L88" s="3">
        <f>'5-6PM '!L61</f>
        <v>81</v>
      </c>
      <c r="M88" s="3">
        <f>'5-6PM '!M61</f>
        <v>0</v>
      </c>
      <c r="N88" s="20">
        <f>'5-6PM '!N61</f>
        <v>346</v>
      </c>
    </row>
    <row r="89" spans="1:14" ht="30" x14ac:dyDescent="0.25">
      <c r="A89" s="4" t="s">
        <v>112</v>
      </c>
      <c r="B89" s="3">
        <f>'5-6PM '!B62</f>
        <v>5</v>
      </c>
      <c r="C89" s="3">
        <f>'5-6PM '!C62</f>
        <v>79</v>
      </c>
      <c r="D89" s="3">
        <f>'5-6PM '!D62</f>
        <v>45</v>
      </c>
      <c r="E89" s="3">
        <f>'5-6PM '!E62</f>
        <v>20</v>
      </c>
      <c r="F89" s="3">
        <f>'5-6PM '!F62</f>
        <v>11</v>
      </c>
      <c r="G89" s="3">
        <f>'5-6PM '!G62</f>
        <v>2</v>
      </c>
      <c r="H89" s="3">
        <f>'5-6PM '!H62</f>
        <v>2</v>
      </c>
      <c r="I89" s="3">
        <f>'5-6PM '!I62</f>
        <v>2</v>
      </c>
      <c r="J89" s="3">
        <f>'5-6PM '!J62</f>
        <v>19</v>
      </c>
      <c r="K89" s="3">
        <f>'5-6PM '!K62</f>
        <v>11</v>
      </c>
      <c r="L89" s="3">
        <f>'5-6PM '!L62</f>
        <v>42</v>
      </c>
      <c r="M89" s="3">
        <f>'5-6PM '!M62</f>
        <v>0</v>
      </c>
      <c r="N89" s="20">
        <f>'5-6PM '!N62</f>
        <v>238</v>
      </c>
    </row>
    <row r="90" spans="1:14" x14ac:dyDescent="0.25">
      <c r="A90" s="21" t="s">
        <v>16</v>
      </c>
      <c r="B90" s="1">
        <f t="shared" ref="B90:M90" si="10">SUM(B87:B89)</f>
        <v>136</v>
      </c>
      <c r="C90" s="1">
        <f t="shared" si="10"/>
        <v>250</v>
      </c>
      <c r="D90" s="1">
        <f t="shared" si="10"/>
        <v>141</v>
      </c>
      <c r="E90" s="1">
        <f t="shared" si="10"/>
        <v>67</v>
      </c>
      <c r="F90" s="1">
        <f t="shared" si="10"/>
        <v>46</v>
      </c>
      <c r="G90" s="1">
        <f t="shared" si="10"/>
        <v>11</v>
      </c>
      <c r="H90" s="1">
        <f t="shared" si="10"/>
        <v>10</v>
      </c>
      <c r="I90" s="1">
        <f t="shared" si="10"/>
        <v>5</v>
      </c>
      <c r="J90" s="1">
        <f t="shared" si="10"/>
        <v>55</v>
      </c>
      <c r="K90" s="1">
        <f t="shared" si="10"/>
        <v>32</v>
      </c>
      <c r="L90" s="1">
        <f t="shared" si="10"/>
        <v>125</v>
      </c>
      <c r="M90" s="1">
        <f t="shared" si="10"/>
        <v>0</v>
      </c>
      <c r="N90" s="22">
        <f>SUM(B90:M90)</f>
        <v>878</v>
      </c>
    </row>
    <row r="91" spans="1:14" x14ac:dyDescent="0.25">
      <c r="A91" s="5"/>
    </row>
    <row r="92" spans="1:14" x14ac:dyDescent="0.25">
      <c r="A92" s="5"/>
    </row>
    <row r="93" spans="1:14" x14ac:dyDescent="0.25">
      <c r="A93" s="40" t="s">
        <v>67</v>
      </c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2"/>
      <c r="N93" s="6"/>
    </row>
    <row r="94" spans="1:14" ht="30" x14ac:dyDescent="0.25">
      <c r="A94" s="4" t="s">
        <v>110</v>
      </c>
      <c r="B94" s="3">
        <f>'6-7PM'!B60</f>
        <v>83</v>
      </c>
      <c r="C94" s="3">
        <f>'6-7PM'!C60</f>
        <v>116</v>
      </c>
      <c r="D94" s="3">
        <f>'6-7PM'!D60</f>
        <v>70</v>
      </c>
      <c r="E94" s="3">
        <f>'6-7PM'!E60</f>
        <v>15</v>
      </c>
      <c r="F94" s="3">
        <f>'6-7PM'!F60</f>
        <v>33</v>
      </c>
      <c r="G94" s="3">
        <f>'6-7PM'!G60</f>
        <v>5</v>
      </c>
      <c r="H94" s="3">
        <f>'6-7PM'!H60</f>
        <v>3</v>
      </c>
      <c r="I94" s="3">
        <f>'6-7PM'!I60</f>
        <v>0</v>
      </c>
      <c r="J94" s="3">
        <f>'6-7PM'!J60</f>
        <v>7</v>
      </c>
      <c r="K94" s="3">
        <f>'6-7PM'!K60</f>
        <v>3</v>
      </c>
      <c r="L94" s="3">
        <f>'6-7PM'!L60</f>
        <v>3</v>
      </c>
      <c r="M94" s="3">
        <f>'6-7PM'!M60</f>
        <v>0</v>
      </c>
      <c r="N94" s="20">
        <f>'6-7PM'!N60</f>
        <v>338</v>
      </c>
    </row>
    <row r="95" spans="1:14" ht="30" x14ac:dyDescent="0.25">
      <c r="A95" s="4" t="s">
        <v>111</v>
      </c>
      <c r="B95" s="3">
        <f>'6-7PM'!B61</f>
        <v>26</v>
      </c>
      <c r="C95" s="3">
        <f>'6-7PM'!C61</f>
        <v>88</v>
      </c>
      <c r="D95" s="3">
        <f>'6-7PM'!D61</f>
        <v>45</v>
      </c>
      <c r="E95" s="3">
        <f>'6-7PM'!E61</f>
        <v>17</v>
      </c>
      <c r="F95" s="3">
        <f>'6-7PM'!F61</f>
        <v>18</v>
      </c>
      <c r="G95" s="3">
        <f>'6-7PM'!G61</f>
        <v>6</v>
      </c>
      <c r="H95" s="3">
        <f>'6-7PM'!H61</f>
        <v>2</v>
      </c>
      <c r="I95" s="3">
        <f>'6-7PM'!I61</f>
        <v>1</v>
      </c>
      <c r="J95" s="3">
        <f>'6-7PM'!J61</f>
        <v>31</v>
      </c>
      <c r="K95" s="3">
        <f>'6-7PM'!K61</f>
        <v>15</v>
      </c>
      <c r="L95" s="3">
        <f>'6-7PM'!L61</f>
        <v>73</v>
      </c>
      <c r="M95" s="3">
        <f>'6-7PM'!M61</f>
        <v>1</v>
      </c>
      <c r="N95" s="20">
        <f>'6-7PM'!N61</f>
        <v>323</v>
      </c>
    </row>
    <row r="96" spans="1:14" ht="30" x14ac:dyDescent="0.25">
      <c r="A96" s="4" t="s">
        <v>112</v>
      </c>
      <c r="B96" s="3">
        <f>'6-7PM'!B62</f>
        <v>4</v>
      </c>
      <c r="C96" s="3">
        <f>'6-7PM'!C62</f>
        <v>98</v>
      </c>
      <c r="D96" s="3">
        <f>'6-7PM'!D62</f>
        <v>60</v>
      </c>
      <c r="E96" s="3">
        <f>'6-7PM'!E62</f>
        <v>16</v>
      </c>
      <c r="F96" s="3">
        <f>'6-7PM'!F62</f>
        <v>10</v>
      </c>
      <c r="G96" s="3">
        <f>'6-7PM'!G62</f>
        <v>1</v>
      </c>
      <c r="H96" s="3">
        <f>'6-7PM'!H62</f>
        <v>0</v>
      </c>
      <c r="I96" s="3">
        <f>'6-7PM'!I62</f>
        <v>0</v>
      </c>
      <c r="J96" s="3">
        <f>'6-7PM'!J62</f>
        <v>29</v>
      </c>
      <c r="K96" s="3">
        <f>'6-7PM'!K62</f>
        <v>3</v>
      </c>
      <c r="L96" s="3">
        <f>'6-7PM'!L62</f>
        <v>34</v>
      </c>
      <c r="M96" s="3">
        <f>'6-7PM'!M62</f>
        <v>0</v>
      </c>
      <c r="N96" s="20">
        <f>'6-7PM'!N62</f>
        <v>255</v>
      </c>
    </row>
    <row r="97" spans="1:14" x14ac:dyDescent="0.25">
      <c r="A97" s="21" t="s">
        <v>16</v>
      </c>
      <c r="B97" s="1">
        <f t="shared" ref="B97:M97" si="11">SUM(B94:B96)</f>
        <v>113</v>
      </c>
      <c r="C97" s="1">
        <f t="shared" si="11"/>
        <v>302</v>
      </c>
      <c r="D97" s="1">
        <f t="shared" si="11"/>
        <v>175</v>
      </c>
      <c r="E97" s="1">
        <f t="shared" si="11"/>
        <v>48</v>
      </c>
      <c r="F97" s="1">
        <f t="shared" si="11"/>
        <v>61</v>
      </c>
      <c r="G97" s="1">
        <f t="shared" si="11"/>
        <v>12</v>
      </c>
      <c r="H97" s="1">
        <f t="shared" si="11"/>
        <v>5</v>
      </c>
      <c r="I97" s="1">
        <f t="shared" si="11"/>
        <v>1</v>
      </c>
      <c r="J97" s="1">
        <f t="shared" si="11"/>
        <v>67</v>
      </c>
      <c r="K97" s="1">
        <f t="shared" si="11"/>
        <v>21</v>
      </c>
      <c r="L97" s="1">
        <f t="shared" si="11"/>
        <v>110</v>
      </c>
      <c r="M97" s="1">
        <f t="shared" si="11"/>
        <v>1</v>
      </c>
      <c r="N97" s="22">
        <f>SUM(B97:M97)</f>
        <v>916</v>
      </c>
    </row>
    <row r="98" spans="1:14" x14ac:dyDescent="0.25">
      <c r="A98" s="24"/>
    </row>
    <row r="99" spans="1:14" x14ac:dyDescent="0.25">
      <c r="A99" s="43" t="s">
        <v>71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</row>
    <row r="100" spans="1:14" x14ac:dyDescent="0.25">
      <c r="A100" s="5"/>
    </row>
    <row r="101" spans="1:14" x14ac:dyDescent="0.25">
      <c r="A101" s="5"/>
    </row>
    <row r="102" spans="1:14" ht="75" x14ac:dyDescent="0.25">
      <c r="A102" s="1" t="s">
        <v>0</v>
      </c>
      <c r="B102" s="2" t="s">
        <v>1</v>
      </c>
      <c r="C102" s="2" t="s">
        <v>2</v>
      </c>
      <c r="D102" s="2" t="s">
        <v>45</v>
      </c>
      <c r="E102" s="2" t="s">
        <v>3</v>
      </c>
      <c r="F102" s="2" t="s">
        <v>4</v>
      </c>
      <c r="G102" s="2" t="s">
        <v>5</v>
      </c>
      <c r="H102" s="2" t="s">
        <v>6</v>
      </c>
      <c r="I102" s="2" t="s">
        <v>7</v>
      </c>
      <c r="J102" s="2" t="s">
        <v>8</v>
      </c>
      <c r="K102" s="2" t="s">
        <v>9</v>
      </c>
      <c r="L102" s="2" t="s">
        <v>10</v>
      </c>
      <c r="M102" s="2" t="s">
        <v>11</v>
      </c>
      <c r="N102" s="7" t="s">
        <v>47</v>
      </c>
    </row>
    <row r="103" spans="1:14" x14ac:dyDescent="0.25">
      <c r="A103" s="31" t="s">
        <v>70</v>
      </c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3"/>
      <c r="N103" s="8"/>
    </row>
    <row r="104" spans="1:14" ht="30" x14ac:dyDescent="0.25">
      <c r="A104" s="4" t="s">
        <v>110</v>
      </c>
      <c r="B104" s="3">
        <f t="shared" ref="B104:M104" si="12">(B16+B24+B31+B38+B45+B52+B59+B66+B73+B80+B87+B94)</f>
        <v>991</v>
      </c>
      <c r="C104" s="3">
        <f t="shared" si="12"/>
        <v>752</v>
      </c>
      <c r="D104" s="3">
        <f t="shared" si="12"/>
        <v>393</v>
      </c>
      <c r="E104" s="3">
        <f t="shared" si="12"/>
        <v>124</v>
      </c>
      <c r="F104" s="3">
        <f t="shared" si="12"/>
        <v>211</v>
      </c>
      <c r="G104" s="3">
        <f t="shared" si="12"/>
        <v>33</v>
      </c>
      <c r="H104" s="3">
        <f t="shared" si="12"/>
        <v>12</v>
      </c>
      <c r="I104" s="3">
        <f t="shared" si="12"/>
        <v>12</v>
      </c>
      <c r="J104" s="3">
        <f t="shared" si="12"/>
        <v>122</v>
      </c>
      <c r="K104" s="3">
        <f t="shared" si="12"/>
        <v>33</v>
      </c>
      <c r="L104" s="3">
        <f t="shared" si="12"/>
        <v>42</v>
      </c>
      <c r="M104" s="3">
        <f t="shared" si="12"/>
        <v>3</v>
      </c>
      <c r="N104" s="20">
        <f>SUM(B104:M104)</f>
        <v>2728</v>
      </c>
    </row>
    <row r="105" spans="1:14" ht="30" x14ac:dyDescent="0.25">
      <c r="A105" s="4" t="s">
        <v>111</v>
      </c>
      <c r="B105" s="3">
        <f t="shared" ref="B105:M105" si="13">(B17+B25+B32+B39+B46+B53+B60+B67+B74+B81+B88+B95)</f>
        <v>410</v>
      </c>
      <c r="C105" s="3">
        <f t="shared" si="13"/>
        <v>913</v>
      </c>
      <c r="D105" s="3">
        <f t="shared" si="13"/>
        <v>603</v>
      </c>
      <c r="E105" s="3">
        <f t="shared" si="13"/>
        <v>238</v>
      </c>
      <c r="F105" s="3">
        <f t="shared" si="13"/>
        <v>215</v>
      </c>
      <c r="G105" s="3">
        <f t="shared" si="13"/>
        <v>89</v>
      </c>
      <c r="H105" s="3">
        <f t="shared" si="13"/>
        <v>28</v>
      </c>
      <c r="I105" s="3">
        <f t="shared" si="13"/>
        <v>23</v>
      </c>
      <c r="J105" s="3">
        <f t="shared" si="13"/>
        <v>550</v>
      </c>
      <c r="K105" s="3">
        <f t="shared" si="13"/>
        <v>311</v>
      </c>
      <c r="L105" s="3">
        <f t="shared" si="13"/>
        <v>967</v>
      </c>
      <c r="M105" s="3">
        <f t="shared" si="13"/>
        <v>3</v>
      </c>
      <c r="N105" s="20">
        <f>SUM(B105:M105)</f>
        <v>4350</v>
      </c>
    </row>
    <row r="106" spans="1:14" ht="30" x14ac:dyDescent="0.25">
      <c r="A106" s="4" t="s">
        <v>112</v>
      </c>
      <c r="B106" s="3">
        <f t="shared" ref="B106:M106" si="14">(B18+B26+B33+B40+B47+B54+B61+B68+B75+B82+B89+B96)</f>
        <v>89</v>
      </c>
      <c r="C106" s="3">
        <f t="shared" si="14"/>
        <v>1301</v>
      </c>
      <c r="D106" s="3">
        <f t="shared" si="14"/>
        <v>951</v>
      </c>
      <c r="E106" s="3">
        <f t="shared" si="14"/>
        <v>358</v>
      </c>
      <c r="F106" s="3">
        <f t="shared" si="14"/>
        <v>254</v>
      </c>
      <c r="G106" s="3">
        <f t="shared" si="14"/>
        <v>32</v>
      </c>
      <c r="H106" s="3">
        <f t="shared" si="14"/>
        <v>16</v>
      </c>
      <c r="I106" s="3">
        <f t="shared" si="14"/>
        <v>30</v>
      </c>
      <c r="J106" s="3">
        <f t="shared" si="14"/>
        <v>451</v>
      </c>
      <c r="K106" s="3">
        <f t="shared" si="14"/>
        <v>150</v>
      </c>
      <c r="L106" s="3">
        <f t="shared" si="14"/>
        <v>582</v>
      </c>
      <c r="M106" s="3">
        <f t="shared" si="14"/>
        <v>0</v>
      </c>
      <c r="N106" s="20">
        <f>SUM(B106:M106)</f>
        <v>4214</v>
      </c>
    </row>
    <row r="107" spans="1:14" ht="27" customHeight="1" x14ac:dyDescent="0.25">
      <c r="A107" s="25" t="s">
        <v>46</v>
      </c>
      <c r="B107" s="26">
        <f t="shared" ref="B107:M107" si="15">SUM(B104:B106)</f>
        <v>1490</v>
      </c>
      <c r="C107" s="26">
        <f t="shared" si="15"/>
        <v>2966</v>
      </c>
      <c r="D107" s="26">
        <f t="shared" si="15"/>
        <v>1947</v>
      </c>
      <c r="E107" s="26">
        <f t="shared" si="15"/>
        <v>720</v>
      </c>
      <c r="F107" s="26">
        <f t="shared" si="15"/>
        <v>680</v>
      </c>
      <c r="G107" s="26">
        <f t="shared" si="15"/>
        <v>154</v>
      </c>
      <c r="H107" s="26">
        <f t="shared" si="15"/>
        <v>56</v>
      </c>
      <c r="I107" s="26">
        <f t="shared" si="15"/>
        <v>65</v>
      </c>
      <c r="J107" s="26">
        <f t="shared" si="15"/>
        <v>1123</v>
      </c>
      <c r="K107" s="26">
        <f t="shared" si="15"/>
        <v>494</v>
      </c>
      <c r="L107" s="26">
        <f t="shared" si="15"/>
        <v>1591</v>
      </c>
      <c r="M107" s="26">
        <f t="shared" si="15"/>
        <v>6</v>
      </c>
      <c r="N107" s="26">
        <f>SUM(B107:M107)</f>
        <v>11292</v>
      </c>
    </row>
    <row r="108" spans="1:14" ht="30" x14ac:dyDescent="0.25">
      <c r="A108" s="16" t="s">
        <v>44</v>
      </c>
      <c r="B108" s="17">
        <v>0.5</v>
      </c>
      <c r="C108" s="17">
        <v>1</v>
      </c>
      <c r="D108" s="17">
        <v>1</v>
      </c>
      <c r="E108" s="17">
        <v>1.75</v>
      </c>
      <c r="F108" s="17">
        <v>1.75</v>
      </c>
      <c r="G108" s="17">
        <v>2</v>
      </c>
      <c r="H108" s="17">
        <v>2.5</v>
      </c>
      <c r="I108" s="17">
        <v>1.25</v>
      </c>
      <c r="J108" s="17">
        <v>1.5</v>
      </c>
      <c r="K108" s="17">
        <v>2.75</v>
      </c>
      <c r="L108" s="17">
        <v>3</v>
      </c>
      <c r="M108" s="17">
        <v>2</v>
      </c>
      <c r="N108" s="8"/>
    </row>
    <row r="109" spans="1:14" ht="47.25" customHeight="1" x14ac:dyDescent="0.25">
      <c r="A109" s="9" t="s">
        <v>48</v>
      </c>
      <c r="B109" s="18">
        <f>B107*B108</f>
        <v>745</v>
      </c>
      <c r="C109" s="18">
        <f t="shared" ref="C109:M109" si="16">C107*C108</f>
        <v>2966</v>
      </c>
      <c r="D109" s="18">
        <f t="shared" si="16"/>
        <v>1947</v>
      </c>
      <c r="E109" s="18">
        <f t="shared" si="16"/>
        <v>1260</v>
      </c>
      <c r="F109" s="18">
        <f t="shared" si="16"/>
        <v>1190</v>
      </c>
      <c r="G109" s="18">
        <f t="shared" si="16"/>
        <v>308</v>
      </c>
      <c r="H109" s="18">
        <f t="shared" si="16"/>
        <v>140</v>
      </c>
      <c r="I109" s="18">
        <f t="shared" si="16"/>
        <v>81.25</v>
      </c>
      <c r="J109" s="18">
        <f t="shared" si="16"/>
        <v>1684.5</v>
      </c>
      <c r="K109" s="18">
        <f t="shared" si="16"/>
        <v>1358.5</v>
      </c>
      <c r="L109" s="18">
        <f t="shared" si="16"/>
        <v>4773</v>
      </c>
      <c r="M109" s="18">
        <f t="shared" si="16"/>
        <v>12</v>
      </c>
      <c r="N109" s="19">
        <f>SUM(B109:M109)</f>
        <v>16465.25</v>
      </c>
    </row>
    <row r="110" spans="1:14" x14ac:dyDescent="0.25">
      <c r="A110" s="5"/>
    </row>
    <row r="111" spans="1:14" x14ac:dyDescent="0.25">
      <c r="A111" s="5"/>
    </row>
    <row r="112" spans="1:14" x14ac:dyDescent="0.25">
      <c r="A112" t="s">
        <v>113</v>
      </c>
    </row>
    <row r="113" spans="1:13" x14ac:dyDescent="0.25">
      <c r="A113" t="s">
        <v>114</v>
      </c>
      <c r="B113">
        <f>'7-8AM'!N67</f>
        <v>0.87</v>
      </c>
    </row>
    <row r="114" spans="1:13" x14ac:dyDescent="0.25">
      <c r="A114" t="s">
        <v>115</v>
      </c>
      <c r="B114">
        <f>'8-9 AM'!N67</f>
        <v>0.86</v>
      </c>
    </row>
    <row r="115" spans="1:13" x14ac:dyDescent="0.25">
      <c r="A115" t="s">
        <v>116</v>
      </c>
      <c r="B115">
        <f>'5-6PM '!N67</f>
        <v>0.94</v>
      </c>
    </row>
    <row r="116" spans="1:13" x14ac:dyDescent="0.25">
      <c r="A116" t="s">
        <v>117</v>
      </c>
      <c r="B116">
        <f>'6-7PM'!N67</f>
        <v>0.87</v>
      </c>
    </row>
    <row r="124" spans="1:13" ht="34.5" customHeight="1" x14ac:dyDescent="0.25">
      <c r="A124" s="15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spans="1:13" x14ac:dyDescent="0.25">
      <c r="A125" s="15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1:13" x14ac:dyDescent="0.25">
      <c r="A126" s="15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</sheetData>
  <mergeCells count="22">
    <mergeCell ref="A58:M58"/>
    <mergeCell ref="A22:M22"/>
    <mergeCell ref="A30:M30"/>
    <mergeCell ref="A37:M37"/>
    <mergeCell ref="A44:M44"/>
    <mergeCell ref="A51:M51"/>
    <mergeCell ref="A9:N9"/>
    <mergeCell ref="A103:M103"/>
    <mergeCell ref="A1:N1"/>
    <mergeCell ref="A3:N3"/>
    <mergeCell ref="A5:N5"/>
    <mergeCell ref="A6:N6"/>
    <mergeCell ref="A7:N7"/>
    <mergeCell ref="A10:N10"/>
    <mergeCell ref="A65:M65"/>
    <mergeCell ref="A72:M72"/>
    <mergeCell ref="A79:M79"/>
    <mergeCell ref="A86:M86"/>
    <mergeCell ref="A93:M93"/>
    <mergeCell ref="A12:N12"/>
    <mergeCell ref="A99:N99"/>
    <mergeCell ref="A15:M1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7-8AM</vt:lpstr>
      <vt:lpstr>8-9 AM</vt:lpstr>
      <vt:lpstr>9-10AM</vt:lpstr>
      <vt:lpstr>10-11AM</vt:lpstr>
      <vt:lpstr>11-12AM</vt:lpstr>
      <vt:lpstr>12-1PM</vt:lpstr>
      <vt:lpstr>1-2PM</vt:lpstr>
      <vt:lpstr>2-3PM</vt:lpstr>
      <vt:lpstr>3-4PM</vt:lpstr>
      <vt:lpstr>4-5PM</vt:lpstr>
      <vt:lpstr>5-6PM </vt:lpstr>
      <vt:lpstr>6-7PM</vt:lpstr>
      <vt:lpstr>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Ogolla</dc:creator>
  <cp:lastModifiedBy>Eric Muiruri</cp:lastModifiedBy>
  <dcterms:created xsi:type="dcterms:W3CDTF">2020-07-23T02:39:54Z</dcterms:created>
  <dcterms:modified xsi:type="dcterms:W3CDTF">2026-05-25T05:47:31Z</dcterms:modified>
</cp:coreProperties>
</file>