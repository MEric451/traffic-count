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Eldoret Site Counts\"/>
    </mc:Choice>
  </mc:AlternateContent>
  <xr:revisionPtr revIDLastSave="0" documentId="13_ncr:1_{F94F0FE4-8651-4F4B-97E4-D310A546A4ED}" xr6:coauthVersionLast="47" xr6:coauthVersionMax="47" xr10:uidLastSave="{00000000-0000-0000-0000-000000000000}"/>
  <bookViews>
    <workbookView xWindow="-120" yWindow="-120" windowWidth="20730" windowHeight="11310" tabRatio="861" activeTab="12" xr2:uid="{00000000-000D-0000-FFFF-FFFF00000000}"/>
  </bookViews>
  <sheets>
    <sheet name="7-8AM" sheetId="1" r:id="rId1"/>
    <sheet name="8-9AM" sheetId="2" r:id="rId2"/>
    <sheet name="9-10AM" sheetId="3" r:id="rId3"/>
    <sheet name="10-11AM" sheetId="4" r:id="rId4"/>
    <sheet name="11-12PM" sheetId="5" r:id="rId5"/>
    <sheet name="12-1PM" sheetId="6" r:id="rId6"/>
    <sheet name="1-2PM" sheetId="7" r:id="rId7"/>
    <sheet name="2-3PM" sheetId="8" r:id="rId8"/>
    <sheet name="3-4PM" sheetId="9" r:id="rId9"/>
    <sheet name="4-5PM" sheetId="10" r:id="rId10"/>
    <sheet name="5-6PM" sheetId="11" r:id="rId11"/>
    <sheet name="6-7PM" sheetId="12" r:id="rId12"/>
    <sheet name="DAY" sheetId="13" r:id="rId13"/>
  </sheets>
  <calcPr calcId="191029"/>
</workbook>
</file>

<file path=xl/calcChain.xml><?xml version="1.0" encoding="utf-8"?>
<calcChain xmlns="http://schemas.openxmlformats.org/spreadsheetml/2006/main">
  <c r="A92" i="13" l="1"/>
  <c r="A91" i="13"/>
  <c r="A83" i="13"/>
  <c r="A82" i="13"/>
  <c r="A77" i="13"/>
  <c r="A76" i="13"/>
  <c r="A71" i="13"/>
  <c r="A70" i="13"/>
  <c r="A65" i="13"/>
  <c r="A64" i="13"/>
  <c r="A59" i="13"/>
  <c r="A58" i="13"/>
  <c r="A53" i="13"/>
  <c r="A52" i="13"/>
  <c r="A47" i="13"/>
  <c r="A46" i="13"/>
  <c r="A41" i="13"/>
  <c r="A40" i="13"/>
  <c r="A35" i="13"/>
  <c r="A34" i="13"/>
  <c r="A29" i="13"/>
  <c r="A28" i="13"/>
  <c r="A23" i="13"/>
  <c r="A22" i="13"/>
  <c r="A17" i="13"/>
  <c r="A16" i="13"/>
  <c r="A7" i="13"/>
  <c r="A6" i="13"/>
  <c r="A5" i="13"/>
  <c r="A3" i="13"/>
  <c r="M57" i="12"/>
  <c r="M83" i="13" s="1"/>
  <c r="L57" i="12"/>
  <c r="L83" i="13" s="1"/>
  <c r="K57" i="12"/>
  <c r="K83" i="13" s="1"/>
  <c r="J57" i="12"/>
  <c r="J83" i="13" s="1"/>
  <c r="I57" i="12"/>
  <c r="I83" i="13" s="1"/>
  <c r="H57" i="12"/>
  <c r="H83" i="13" s="1"/>
  <c r="G57" i="12"/>
  <c r="G83" i="13" s="1"/>
  <c r="F57" i="12"/>
  <c r="F83" i="13" s="1"/>
  <c r="E57" i="12"/>
  <c r="E83" i="13" s="1"/>
  <c r="D57" i="12"/>
  <c r="D83" i="13" s="1"/>
  <c r="C57" i="12"/>
  <c r="C83" i="13" s="1"/>
  <c r="B57" i="12"/>
  <c r="B83" i="13" s="1"/>
  <c r="A57" i="12"/>
  <c r="M56" i="12"/>
  <c r="M82" i="13" s="1"/>
  <c r="M84" i="13" s="1"/>
  <c r="K56" i="12"/>
  <c r="K82" i="13" s="1"/>
  <c r="J56" i="12"/>
  <c r="J82" i="13" s="1"/>
  <c r="J84" i="13" s="1"/>
  <c r="I56" i="12"/>
  <c r="I82" i="13" s="1"/>
  <c r="I84" i="13" s="1"/>
  <c r="H56" i="12"/>
  <c r="H82" i="13" s="1"/>
  <c r="H84" i="13" s="1"/>
  <c r="G56" i="12"/>
  <c r="G82" i="13" s="1"/>
  <c r="G84" i="13" s="1"/>
  <c r="F56" i="12"/>
  <c r="F82" i="13" s="1"/>
  <c r="F84" i="13" s="1"/>
  <c r="E56" i="12"/>
  <c r="E82" i="13" s="1"/>
  <c r="E84" i="13" s="1"/>
  <c r="D56" i="12"/>
  <c r="D82" i="13" s="1"/>
  <c r="D84" i="13" s="1"/>
  <c r="C56" i="12"/>
  <c r="C82" i="13" s="1"/>
  <c r="B56" i="12"/>
  <c r="B82" i="13" s="1"/>
  <c r="A56" i="12"/>
  <c r="J48" i="12"/>
  <c r="F48" i="12"/>
  <c r="B48" i="12"/>
  <c r="M46" i="12"/>
  <c r="M48" i="12" s="1"/>
  <c r="L46" i="12"/>
  <c r="L48" i="12" s="1"/>
  <c r="K46" i="12"/>
  <c r="K48" i="12" s="1"/>
  <c r="J46" i="12"/>
  <c r="I46" i="12"/>
  <c r="I48" i="12" s="1"/>
  <c r="H46" i="12"/>
  <c r="H48" i="12" s="1"/>
  <c r="G46" i="12"/>
  <c r="G48" i="12" s="1"/>
  <c r="F46" i="12"/>
  <c r="E46" i="12"/>
  <c r="E48" i="12" s="1"/>
  <c r="D46" i="12"/>
  <c r="D48" i="12" s="1"/>
  <c r="C46" i="12"/>
  <c r="C48" i="12" s="1"/>
  <c r="B46" i="12"/>
  <c r="N46" i="12" s="1"/>
  <c r="N45" i="12"/>
  <c r="A45" i="12"/>
  <c r="N44" i="12"/>
  <c r="A44" i="12"/>
  <c r="H38" i="12"/>
  <c r="M36" i="12"/>
  <c r="M38" i="12" s="1"/>
  <c r="K36" i="12"/>
  <c r="K38" i="12" s="1"/>
  <c r="J36" i="12"/>
  <c r="J38" i="12" s="1"/>
  <c r="I36" i="12"/>
  <c r="I38" i="12" s="1"/>
  <c r="G36" i="12"/>
  <c r="G38" i="12" s="1"/>
  <c r="F36" i="12"/>
  <c r="F38" i="12" s="1"/>
  <c r="E36" i="12"/>
  <c r="E38" i="12" s="1"/>
  <c r="D36" i="12"/>
  <c r="D38" i="12" s="1"/>
  <c r="C36" i="12"/>
  <c r="C38" i="12" s="1"/>
  <c r="B36" i="12"/>
  <c r="B38" i="12" s="1"/>
  <c r="N35" i="12"/>
  <c r="A35" i="12"/>
  <c r="N34" i="12"/>
  <c r="L34" i="12"/>
  <c r="L36" i="12" s="1"/>
  <c r="L38" i="12" s="1"/>
  <c r="A34" i="12"/>
  <c r="J28" i="12"/>
  <c r="F28" i="12"/>
  <c r="B28" i="12"/>
  <c r="N28" i="12" s="1"/>
  <c r="M26" i="12"/>
  <c r="M28" i="12" s="1"/>
  <c r="L26" i="12"/>
  <c r="L28" i="12" s="1"/>
  <c r="K26" i="12"/>
  <c r="K28" i="12" s="1"/>
  <c r="J26" i="12"/>
  <c r="I26" i="12"/>
  <c r="I28" i="12" s="1"/>
  <c r="H26" i="12"/>
  <c r="H28" i="12" s="1"/>
  <c r="G26" i="12"/>
  <c r="G28" i="12" s="1"/>
  <c r="F26" i="12"/>
  <c r="E26" i="12"/>
  <c r="E28" i="12" s="1"/>
  <c r="D26" i="12"/>
  <c r="D28" i="12" s="1"/>
  <c r="C26" i="12"/>
  <c r="C28" i="12" s="1"/>
  <c r="B26" i="12"/>
  <c r="N26" i="12" s="1"/>
  <c r="N25" i="12"/>
  <c r="A25" i="12"/>
  <c r="N24" i="12"/>
  <c r="A24" i="12"/>
  <c r="L18" i="12"/>
  <c r="H18" i="12"/>
  <c r="D18" i="12"/>
  <c r="M16" i="12"/>
  <c r="M18" i="12" s="1"/>
  <c r="L16" i="12"/>
  <c r="K16" i="12"/>
  <c r="K18" i="12" s="1"/>
  <c r="J16" i="12"/>
  <c r="J18" i="12" s="1"/>
  <c r="I16" i="12"/>
  <c r="I18" i="12" s="1"/>
  <c r="H16" i="12"/>
  <c r="G16" i="12"/>
  <c r="G18" i="12" s="1"/>
  <c r="F16" i="12"/>
  <c r="F18" i="12" s="1"/>
  <c r="E16" i="12"/>
  <c r="E18" i="12" s="1"/>
  <c r="D16" i="12"/>
  <c r="C16" i="12"/>
  <c r="C18" i="12" s="1"/>
  <c r="B16" i="12"/>
  <c r="B18" i="12" s="1"/>
  <c r="N15" i="12"/>
  <c r="A15" i="12"/>
  <c r="N14" i="12"/>
  <c r="A14" i="12"/>
  <c r="A7" i="12"/>
  <c r="A6" i="12"/>
  <c r="A5" i="12"/>
  <c r="A3" i="12"/>
  <c r="M57" i="11"/>
  <c r="M77" i="13" s="1"/>
  <c r="L57" i="11"/>
  <c r="L77" i="13" s="1"/>
  <c r="K57" i="11"/>
  <c r="K77" i="13" s="1"/>
  <c r="J57" i="11"/>
  <c r="J77" i="13" s="1"/>
  <c r="I57" i="11"/>
  <c r="I77" i="13" s="1"/>
  <c r="H57" i="11"/>
  <c r="H77" i="13" s="1"/>
  <c r="G57" i="11"/>
  <c r="G77" i="13" s="1"/>
  <c r="F57" i="11"/>
  <c r="F77" i="13" s="1"/>
  <c r="E57" i="11"/>
  <c r="E77" i="13" s="1"/>
  <c r="D57" i="11"/>
  <c r="D77" i="13" s="1"/>
  <c r="C57" i="11"/>
  <c r="C77" i="13" s="1"/>
  <c r="B57" i="11"/>
  <c r="B77" i="13" s="1"/>
  <c r="A57" i="11"/>
  <c r="M56" i="11"/>
  <c r="M76" i="13" s="1"/>
  <c r="M78" i="13" s="1"/>
  <c r="L56" i="11"/>
  <c r="L76" i="13" s="1"/>
  <c r="K56" i="11"/>
  <c r="K76" i="13" s="1"/>
  <c r="K78" i="13" s="1"/>
  <c r="J56" i="11"/>
  <c r="J76" i="13" s="1"/>
  <c r="J78" i="13" s="1"/>
  <c r="I56" i="11"/>
  <c r="I76" i="13" s="1"/>
  <c r="I78" i="13" s="1"/>
  <c r="H56" i="11"/>
  <c r="H76" i="13" s="1"/>
  <c r="H78" i="13" s="1"/>
  <c r="G56" i="11"/>
  <c r="G76" i="13" s="1"/>
  <c r="F56" i="11"/>
  <c r="F76" i="13" s="1"/>
  <c r="F78" i="13" s="1"/>
  <c r="E56" i="11"/>
  <c r="E76" i="13" s="1"/>
  <c r="E78" i="13" s="1"/>
  <c r="D56" i="11"/>
  <c r="D76" i="13" s="1"/>
  <c r="D78" i="13" s="1"/>
  <c r="C56" i="11"/>
  <c r="C76" i="13" s="1"/>
  <c r="C78" i="13" s="1"/>
  <c r="B56" i="11"/>
  <c r="B76" i="13" s="1"/>
  <c r="A56" i="11"/>
  <c r="M48" i="11"/>
  <c r="I48" i="11"/>
  <c r="E48" i="11"/>
  <c r="M46" i="11"/>
  <c r="L46" i="11"/>
  <c r="L48" i="11" s="1"/>
  <c r="K46" i="11"/>
  <c r="K48" i="11" s="1"/>
  <c r="J46" i="11"/>
  <c r="J48" i="11" s="1"/>
  <c r="I46" i="11"/>
  <c r="H46" i="11"/>
  <c r="H48" i="11" s="1"/>
  <c r="G46" i="11"/>
  <c r="G48" i="11" s="1"/>
  <c r="F46" i="11"/>
  <c r="F48" i="11" s="1"/>
  <c r="E46" i="11"/>
  <c r="D46" i="11"/>
  <c r="D48" i="11" s="1"/>
  <c r="C46" i="11"/>
  <c r="C48" i="11" s="1"/>
  <c r="B46" i="11"/>
  <c r="B48" i="11" s="1"/>
  <c r="N48" i="11" s="1"/>
  <c r="N45" i="11"/>
  <c r="A45" i="11"/>
  <c r="N44" i="11"/>
  <c r="A44" i="11"/>
  <c r="K38" i="11"/>
  <c r="G38" i="11"/>
  <c r="C38" i="11"/>
  <c r="M36" i="11"/>
  <c r="M38" i="11" s="1"/>
  <c r="L36" i="11"/>
  <c r="L38" i="11" s="1"/>
  <c r="K36" i="11"/>
  <c r="J36" i="11"/>
  <c r="J38" i="11" s="1"/>
  <c r="I36" i="11"/>
  <c r="I38" i="11" s="1"/>
  <c r="H36" i="11"/>
  <c r="H38" i="11" s="1"/>
  <c r="G36" i="11"/>
  <c r="F36" i="11"/>
  <c r="F38" i="11" s="1"/>
  <c r="E36" i="11"/>
  <c r="E38" i="11" s="1"/>
  <c r="D36" i="11"/>
  <c r="D38" i="11" s="1"/>
  <c r="C36" i="11"/>
  <c r="B36" i="11"/>
  <c r="N36" i="11" s="1"/>
  <c r="N35" i="11"/>
  <c r="A35" i="11"/>
  <c r="N34" i="11"/>
  <c r="A34" i="11"/>
  <c r="M28" i="11"/>
  <c r="I28" i="11"/>
  <c r="E28" i="11"/>
  <c r="M26" i="11"/>
  <c r="L26" i="11"/>
  <c r="L28" i="11" s="1"/>
  <c r="K26" i="11"/>
  <c r="K28" i="11" s="1"/>
  <c r="J26" i="11"/>
  <c r="J28" i="11" s="1"/>
  <c r="I26" i="11"/>
  <c r="H26" i="11"/>
  <c r="H28" i="11" s="1"/>
  <c r="G26" i="11"/>
  <c r="G28" i="11" s="1"/>
  <c r="F26" i="11"/>
  <c r="F28" i="11" s="1"/>
  <c r="E26" i="11"/>
  <c r="D26" i="11"/>
  <c r="D28" i="11" s="1"/>
  <c r="C26" i="11"/>
  <c r="C28" i="11" s="1"/>
  <c r="B26" i="11"/>
  <c r="N25" i="11"/>
  <c r="A25" i="11"/>
  <c r="N24" i="11"/>
  <c r="A24" i="11"/>
  <c r="K18" i="11"/>
  <c r="G18" i="11"/>
  <c r="M16" i="11"/>
  <c r="M18" i="11" s="1"/>
  <c r="L16" i="11"/>
  <c r="L18" i="11" s="1"/>
  <c r="K16" i="11"/>
  <c r="J16" i="11"/>
  <c r="J18" i="11" s="1"/>
  <c r="I16" i="11"/>
  <c r="I18" i="11" s="1"/>
  <c r="H16" i="11"/>
  <c r="H18" i="11" s="1"/>
  <c r="G16" i="11"/>
  <c r="F16" i="11"/>
  <c r="F18" i="11" s="1"/>
  <c r="E16" i="11"/>
  <c r="E18" i="11" s="1"/>
  <c r="D16" i="11"/>
  <c r="D18" i="11" s="1"/>
  <c r="C16" i="11"/>
  <c r="C18" i="11" s="1"/>
  <c r="B16" i="11"/>
  <c r="N15" i="11"/>
  <c r="A15" i="11"/>
  <c r="N14" i="11"/>
  <c r="A14" i="11"/>
  <c r="A7" i="11"/>
  <c r="A6" i="11"/>
  <c r="A5" i="11"/>
  <c r="A3" i="11"/>
  <c r="M58" i="10"/>
  <c r="M60" i="10" s="1"/>
  <c r="I58" i="10"/>
  <c r="I60" i="10" s="1"/>
  <c r="E58" i="10"/>
  <c r="E60" i="10" s="1"/>
  <c r="M57" i="10"/>
  <c r="M71" i="13" s="1"/>
  <c r="L57" i="10"/>
  <c r="L71" i="13" s="1"/>
  <c r="K57" i="10"/>
  <c r="K71" i="13" s="1"/>
  <c r="J57" i="10"/>
  <c r="J71" i="13" s="1"/>
  <c r="I57" i="10"/>
  <c r="I71" i="13" s="1"/>
  <c r="H57" i="10"/>
  <c r="H71" i="13" s="1"/>
  <c r="G57" i="10"/>
  <c r="G71" i="13" s="1"/>
  <c r="F57" i="10"/>
  <c r="F71" i="13" s="1"/>
  <c r="E57" i="10"/>
  <c r="E71" i="13" s="1"/>
  <c r="D57" i="10"/>
  <c r="D71" i="13" s="1"/>
  <c r="C57" i="10"/>
  <c r="C71" i="13" s="1"/>
  <c r="B57" i="10"/>
  <c r="B71" i="13" s="1"/>
  <c r="N71" i="13" s="1"/>
  <c r="A57" i="10"/>
  <c r="M56" i="10"/>
  <c r="M70" i="13" s="1"/>
  <c r="L56" i="10"/>
  <c r="K56" i="10"/>
  <c r="K70" i="13" s="1"/>
  <c r="K72" i="13" s="1"/>
  <c r="J56" i="10"/>
  <c r="J70" i="13" s="1"/>
  <c r="I56" i="10"/>
  <c r="I70" i="13" s="1"/>
  <c r="H56" i="10"/>
  <c r="G56" i="10"/>
  <c r="G70" i="13" s="1"/>
  <c r="G72" i="13" s="1"/>
  <c r="F56" i="10"/>
  <c r="F70" i="13" s="1"/>
  <c r="E56" i="10"/>
  <c r="E70" i="13" s="1"/>
  <c r="D56" i="10"/>
  <c r="C56" i="10"/>
  <c r="C70" i="13" s="1"/>
  <c r="C72" i="13" s="1"/>
  <c r="B56" i="10"/>
  <c r="B70" i="13" s="1"/>
  <c r="A56" i="10"/>
  <c r="M48" i="10"/>
  <c r="J48" i="10"/>
  <c r="I48" i="10"/>
  <c r="F48" i="10"/>
  <c r="E48" i="10"/>
  <c r="B48" i="10"/>
  <c r="N48" i="10" s="1"/>
  <c r="M46" i="10"/>
  <c r="L46" i="10"/>
  <c r="L48" i="10" s="1"/>
  <c r="K46" i="10"/>
  <c r="K48" i="10" s="1"/>
  <c r="J46" i="10"/>
  <c r="I46" i="10"/>
  <c r="H46" i="10"/>
  <c r="H48" i="10" s="1"/>
  <c r="G46" i="10"/>
  <c r="G48" i="10" s="1"/>
  <c r="F46" i="10"/>
  <c r="E46" i="10"/>
  <c r="D46" i="10"/>
  <c r="D48" i="10" s="1"/>
  <c r="C46" i="10"/>
  <c r="C48" i="10" s="1"/>
  <c r="B46" i="10"/>
  <c r="N45" i="10"/>
  <c r="A45" i="10"/>
  <c r="N44" i="10"/>
  <c r="A44" i="10"/>
  <c r="L38" i="10"/>
  <c r="K38" i="10"/>
  <c r="H38" i="10"/>
  <c r="G38" i="10"/>
  <c r="D38" i="10"/>
  <c r="C38" i="10"/>
  <c r="M36" i="10"/>
  <c r="M38" i="10" s="1"/>
  <c r="L36" i="10"/>
  <c r="K36" i="10"/>
  <c r="J36" i="10"/>
  <c r="J38" i="10" s="1"/>
  <c r="I36" i="10"/>
  <c r="I38" i="10" s="1"/>
  <c r="H36" i="10"/>
  <c r="G36" i="10"/>
  <c r="F36" i="10"/>
  <c r="F38" i="10" s="1"/>
  <c r="E36" i="10"/>
  <c r="E38" i="10" s="1"/>
  <c r="D36" i="10"/>
  <c r="C36" i="10"/>
  <c r="B36" i="10"/>
  <c r="B38" i="10" s="1"/>
  <c r="N35" i="10"/>
  <c r="A35" i="10"/>
  <c r="N34" i="10"/>
  <c r="A34" i="10"/>
  <c r="M28" i="10"/>
  <c r="J28" i="10"/>
  <c r="I28" i="10"/>
  <c r="F28" i="10"/>
  <c r="E28" i="10"/>
  <c r="B28" i="10"/>
  <c r="M26" i="10"/>
  <c r="L26" i="10"/>
  <c r="L28" i="10" s="1"/>
  <c r="K26" i="10"/>
  <c r="K28" i="10" s="1"/>
  <c r="J26" i="10"/>
  <c r="I26" i="10"/>
  <c r="H26" i="10"/>
  <c r="H28" i="10" s="1"/>
  <c r="G26" i="10"/>
  <c r="G28" i="10" s="1"/>
  <c r="F26" i="10"/>
  <c r="E26" i="10"/>
  <c r="D26" i="10"/>
  <c r="D28" i="10" s="1"/>
  <c r="N28" i="10" s="1"/>
  <c r="C26" i="10"/>
  <c r="C28" i="10" s="1"/>
  <c r="B26" i="10"/>
  <c r="N25" i="10"/>
  <c r="A25" i="10"/>
  <c r="N24" i="10"/>
  <c r="A24" i="10"/>
  <c r="L18" i="10"/>
  <c r="K18" i="10"/>
  <c r="H18" i="10"/>
  <c r="G18" i="10"/>
  <c r="D18" i="10"/>
  <c r="C18" i="10"/>
  <c r="M16" i="10"/>
  <c r="M18" i="10" s="1"/>
  <c r="L16" i="10"/>
  <c r="K16" i="10"/>
  <c r="J16" i="10"/>
  <c r="J18" i="10" s="1"/>
  <c r="I16" i="10"/>
  <c r="I18" i="10" s="1"/>
  <c r="H16" i="10"/>
  <c r="G16" i="10"/>
  <c r="F16" i="10"/>
  <c r="F18" i="10" s="1"/>
  <c r="E16" i="10"/>
  <c r="E18" i="10" s="1"/>
  <c r="D16" i="10"/>
  <c r="C16" i="10"/>
  <c r="B16" i="10"/>
  <c r="B18" i="10" s="1"/>
  <c r="N18" i="10" s="1"/>
  <c r="N15" i="10"/>
  <c r="A15" i="10"/>
  <c r="N14" i="10"/>
  <c r="A14" i="10"/>
  <c r="A7" i="10"/>
  <c r="A6" i="10"/>
  <c r="A5" i="10"/>
  <c r="A3" i="10"/>
  <c r="K58" i="9"/>
  <c r="K60" i="9" s="1"/>
  <c r="G58" i="9"/>
  <c r="G60" i="9" s="1"/>
  <c r="C58" i="9"/>
  <c r="C60" i="9" s="1"/>
  <c r="M57" i="9"/>
  <c r="M65" i="13" s="1"/>
  <c r="L57" i="9"/>
  <c r="L65" i="13" s="1"/>
  <c r="K57" i="9"/>
  <c r="K65" i="13" s="1"/>
  <c r="J57" i="9"/>
  <c r="J65" i="13" s="1"/>
  <c r="I57" i="9"/>
  <c r="I65" i="13" s="1"/>
  <c r="H57" i="9"/>
  <c r="H65" i="13" s="1"/>
  <c r="G57" i="9"/>
  <c r="G65" i="13" s="1"/>
  <c r="F57" i="9"/>
  <c r="F65" i="13" s="1"/>
  <c r="E57" i="9"/>
  <c r="E65" i="13" s="1"/>
  <c r="D57" i="9"/>
  <c r="D65" i="13" s="1"/>
  <c r="C57" i="9"/>
  <c r="C65" i="13" s="1"/>
  <c r="B57" i="9"/>
  <c r="B65" i="13" s="1"/>
  <c r="A57" i="9"/>
  <c r="M56" i="9"/>
  <c r="M64" i="13" s="1"/>
  <c r="M66" i="13" s="1"/>
  <c r="L56" i="9"/>
  <c r="L64" i="13" s="1"/>
  <c r="K56" i="9"/>
  <c r="K64" i="13" s="1"/>
  <c r="J56" i="9"/>
  <c r="I56" i="9"/>
  <c r="I64" i="13" s="1"/>
  <c r="I66" i="13" s="1"/>
  <c r="H56" i="9"/>
  <c r="H64" i="13" s="1"/>
  <c r="G56" i="9"/>
  <c r="G64" i="13" s="1"/>
  <c r="F56" i="9"/>
  <c r="E56" i="9"/>
  <c r="E64" i="13" s="1"/>
  <c r="E66" i="13" s="1"/>
  <c r="D56" i="9"/>
  <c r="D64" i="13" s="1"/>
  <c r="C56" i="9"/>
  <c r="C64" i="13" s="1"/>
  <c r="B56" i="9"/>
  <c r="A56" i="9"/>
  <c r="L48" i="9"/>
  <c r="K48" i="9"/>
  <c r="H48" i="9"/>
  <c r="G48" i="9"/>
  <c r="D48" i="9"/>
  <c r="C48" i="9"/>
  <c r="M46" i="9"/>
  <c r="M48" i="9" s="1"/>
  <c r="L46" i="9"/>
  <c r="K46" i="9"/>
  <c r="J46" i="9"/>
  <c r="J48" i="9" s="1"/>
  <c r="I46" i="9"/>
  <c r="I48" i="9" s="1"/>
  <c r="H46" i="9"/>
  <c r="G46" i="9"/>
  <c r="F46" i="9"/>
  <c r="F48" i="9" s="1"/>
  <c r="E46" i="9"/>
  <c r="E48" i="9" s="1"/>
  <c r="D46" i="9"/>
  <c r="C46" i="9"/>
  <c r="B46" i="9"/>
  <c r="B48" i="9" s="1"/>
  <c r="N48" i="9" s="1"/>
  <c r="N45" i="9"/>
  <c r="A45" i="9"/>
  <c r="N44" i="9"/>
  <c r="A44" i="9"/>
  <c r="M38" i="9"/>
  <c r="J38" i="9"/>
  <c r="I38" i="9"/>
  <c r="F38" i="9"/>
  <c r="E38" i="9"/>
  <c r="B38" i="9"/>
  <c r="M36" i="9"/>
  <c r="L36" i="9"/>
  <c r="L38" i="9" s="1"/>
  <c r="K36" i="9"/>
  <c r="K38" i="9" s="1"/>
  <c r="J36" i="9"/>
  <c r="I36" i="9"/>
  <c r="H36" i="9"/>
  <c r="H38" i="9" s="1"/>
  <c r="G36" i="9"/>
  <c r="G38" i="9" s="1"/>
  <c r="F36" i="9"/>
  <c r="E36" i="9"/>
  <c r="D36" i="9"/>
  <c r="D38" i="9" s="1"/>
  <c r="N38" i="9" s="1"/>
  <c r="C36" i="9"/>
  <c r="C38" i="9" s="1"/>
  <c r="B36" i="9"/>
  <c r="N36" i="9" s="1"/>
  <c r="N35" i="9"/>
  <c r="A35" i="9"/>
  <c r="N34" i="9"/>
  <c r="A34" i="9"/>
  <c r="L28" i="9"/>
  <c r="K28" i="9"/>
  <c r="H28" i="9"/>
  <c r="G28" i="9"/>
  <c r="D28" i="9"/>
  <c r="C28" i="9"/>
  <c r="M26" i="9"/>
  <c r="M28" i="9" s="1"/>
  <c r="L26" i="9"/>
  <c r="K26" i="9"/>
  <c r="J26" i="9"/>
  <c r="J28" i="9" s="1"/>
  <c r="I26" i="9"/>
  <c r="I28" i="9" s="1"/>
  <c r="H26" i="9"/>
  <c r="G26" i="9"/>
  <c r="F26" i="9"/>
  <c r="F28" i="9" s="1"/>
  <c r="E26" i="9"/>
  <c r="E28" i="9" s="1"/>
  <c r="D26" i="9"/>
  <c r="C26" i="9"/>
  <c r="B26" i="9"/>
  <c r="B28" i="9" s="1"/>
  <c r="N25" i="9"/>
  <c r="A25" i="9"/>
  <c r="N24" i="9"/>
  <c r="A24" i="9"/>
  <c r="M18" i="9"/>
  <c r="J18" i="9"/>
  <c r="I18" i="9"/>
  <c r="F18" i="9"/>
  <c r="E18" i="9"/>
  <c r="B18" i="9"/>
  <c r="N18" i="9" s="1"/>
  <c r="M16" i="9"/>
  <c r="L16" i="9"/>
  <c r="L18" i="9" s="1"/>
  <c r="K16" i="9"/>
  <c r="K18" i="9" s="1"/>
  <c r="J16" i="9"/>
  <c r="I16" i="9"/>
  <c r="H16" i="9"/>
  <c r="H18" i="9" s="1"/>
  <c r="G16" i="9"/>
  <c r="G18" i="9" s="1"/>
  <c r="F16" i="9"/>
  <c r="E16" i="9"/>
  <c r="D16" i="9"/>
  <c r="D18" i="9" s="1"/>
  <c r="C16" i="9"/>
  <c r="C18" i="9" s="1"/>
  <c r="B16" i="9"/>
  <c r="N16" i="9" s="1"/>
  <c r="N15" i="9"/>
  <c r="A15" i="9"/>
  <c r="N14" i="9"/>
  <c r="A14" i="9"/>
  <c r="A7" i="9"/>
  <c r="A6" i="9"/>
  <c r="A5" i="9"/>
  <c r="A3" i="9"/>
  <c r="M58" i="8"/>
  <c r="M60" i="8" s="1"/>
  <c r="I58" i="8"/>
  <c r="I60" i="8" s="1"/>
  <c r="E58" i="8"/>
  <c r="E60" i="8" s="1"/>
  <c r="M57" i="8"/>
  <c r="M59" i="13" s="1"/>
  <c r="L57" i="8"/>
  <c r="L59" i="13" s="1"/>
  <c r="K57" i="8"/>
  <c r="K59" i="13" s="1"/>
  <c r="J57" i="8"/>
  <c r="J59" i="13" s="1"/>
  <c r="I57" i="8"/>
  <c r="I59" i="13" s="1"/>
  <c r="H57" i="8"/>
  <c r="H59" i="13" s="1"/>
  <c r="G57" i="8"/>
  <c r="G59" i="13" s="1"/>
  <c r="F57" i="8"/>
  <c r="F59" i="13" s="1"/>
  <c r="E57" i="8"/>
  <c r="E59" i="13" s="1"/>
  <c r="D57" i="8"/>
  <c r="D59" i="13" s="1"/>
  <c r="C57" i="8"/>
  <c r="C59" i="13" s="1"/>
  <c r="B57" i="8"/>
  <c r="B59" i="13" s="1"/>
  <c r="N59" i="13" s="1"/>
  <c r="A57" i="8"/>
  <c r="M56" i="8"/>
  <c r="M58" i="13" s="1"/>
  <c r="L56" i="8"/>
  <c r="K56" i="8"/>
  <c r="K58" i="13" s="1"/>
  <c r="K60" i="13" s="1"/>
  <c r="J56" i="8"/>
  <c r="J58" i="13" s="1"/>
  <c r="I56" i="8"/>
  <c r="I58" i="13" s="1"/>
  <c r="H56" i="8"/>
  <c r="G56" i="8"/>
  <c r="G58" i="13" s="1"/>
  <c r="G60" i="13" s="1"/>
  <c r="F56" i="8"/>
  <c r="F58" i="13" s="1"/>
  <c r="E56" i="8"/>
  <c r="E58" i="13" s="1"/>
  <c r="D56" i="8"/>
  <c r="C56" i="8"/>
  <c r="C58" i="13" s="1"/>
  <c r="C60" i="13" s="1"/>
  <c r="B56" i="8"/>
  <c r="B58" i="13" s="1"/>
  <c r="A56" i="8"/>
  <c r="M48" i="8"/>
  <c r="J48" i="8"/>
  <c r="I48" i="8"/>
  <c r="F48" i="8"/>
  <c r="E48" i="8"/>
  <c r="B48" i="8"/>
  <c r="N48" i="8" s="1"/>
  <c r="M46" i="8"/>
  <c r="L46" i="8"/>
  <c r="L48" i="8" s="1"/>
  <c r="K46" i="8"/>
  <c r="K48" i="8" s="1"/>
  <c r="J46" i="8"/>
  <c r="I46" i="8"/>
  <c r="H46" i="8"/>
  <c r="H48" i="8" s="1"/>
  <c r="G46" i="8"/>
  <c r="G48" i="8" s="1"/>
  <c r="F46" i="8"/>
  <c r="E46" i="8"/>
  <c r="D46" i="8"/>
  <c r="D48" i="8" s="1"/>
  <c r="C46" i="8"/>
  <c r="C48" i="8" s="1"/>
  <c r="B46" i="8"/>
  <c r="N46" i="8" s="1"/>
  <c r="N45" i="8"/>
  <c r="A45" i="8"/>
  <c r="N44" i="8"/>
  <c r="A44" i="8"/>
  <c r="K38" i="8"/>
  <c r="G38" i="8"/>
  <c r="C38" i="8"/>
  <c r="M36" i="8"/>
  <c r="M38" i="8" s="1"/>
  <c r="L36" i="8"/>
  <c r="L38" i="8" s="1"/>
  <c r="K36" i="8"/>
  <c r="J36" i="8"/>
  <c r="J38" i="8" s="1"/>
  <c r="I36" i="8"/>
  <c r="I38" i="8" s="1"/>
  <c r="H36" i="8"/>
  <c r="H38" i="8" s="1"/>
  <c r="G36" i="8"/>
  <c r="F36" i="8"/>
  <c r="F38" i="8" s="1"/>
  <c r="E36" i="8"/>
  <c r="E38" i="8" s="1"/>
  <c r="D36" i="8"/>
  <c r="D38" i="8" s="1"/>
  <c r="C36" i="8"/>
  <c r="B36" i="8"/>
  <c r="B38" i="8" s="1"/>
  <c r="N35" i="8"/>
  <c r="A35" i="8"/>
  <c r="N34" i="8"/>
  <c r="A34" i="8"/>
  <c r="M28" i="8"/>
  <c r="J28" i="8"/>
  <c r="I28" i="8"/>
  <c r="F28" i="8"/>
  <c r="E28" i="8"/>
  <c r="B28" i="8"/>
  <c r="N28" i="8" s="1"/>
  <c r="M26" i="8"/>
  <c r="L26" i="8"/>
  <c r="L28" i="8" s="1"/>
  <c r="K26" i="8"/>
  <c r="K28" i="8" s="1"/>
  <c r="J26" i="8"/>
  <c r="I26" i="8"/>
  <c r="H26" i="8"/>
  <c r="H28" i="8" s="1"/>
  <c r="G26" i="8"/>
  <c r="G28" i="8" s="1"/>
  <c r="F26" i="8"/>
  <c r="E26" i="8"/>
  <c r="D26" i="8"/>
  <c r="D28" i="8" s="1"/>
  <c r="C26" i="8"/>
  <c r="C28" i="8" s="1"/>
  <c r="B26" i="8"/>
  <c r="N26" i="8" s="1"/>
  <c r="N25" i="8"/>
  <c r="A25" i="8"/>
  <c r="N24" i="8"/>
  <c r="A24" i="8"/>
  <c r="L18" i="8"/>
  <c r="K18" i="8"/>
  <c r="H18" i="8"/>
  <c r="G18" i="8"/>
  <c r="D18" i="8"/>
  <c r="C18" i="8"/>
  <c r="M16" i="8"/>
  <c r="M18" i="8" s="1"/>
  <c r="L16" i="8"/>
  <c r="K16" i="8"/>
  <c r="J16" i="8"/>
  <c r="J18" i="8" s="1"/>
  <c r="I16" i="8"/>
  <c r="I18" i="8" s="1"/>
  <c r="H16" i="8"/>
  <c r="G16" i="8"/>
  <c r="F16" i="8"/>
  <c r="F18" i="8" s="1"/>
  <c r="E16" i="8"/>
  <c r="E18" i="8" s="1"/>
  <c r="D16" i="8"/>
  <c r="C16" i="8"/>
  <c r="B16" i="8"/>
  <c r="B18" i="8" s="1"/>
  <c r="N18" i="8" s="1"/>
  <c r="N15" i="8"/>
  <c r="A15" i="8"/>
  <c r="N14" i="8"/>
  <c r="A14" i="8"/>
  <c r="A7" i="8"/>
  <c r="A6" i="8"/>
  <c r="A5" i="8"/>
  <c r="A3" i="8"/>
  <c r="M57" i="7"/>
  <c r="M53" i="13" s="1"/>
  <c r="L57" i="7"/>
  <c r="L53" i="13" s="1"/>
  <c r="K57" i="7"/>
  <c r="K53" i="13" s="1"/>
  <c r="J57" i="7"/>
  <c r="J53" i="13" s="1"/>
  <c r="I57" i="7"/>
  <c r="I53" i="13" s="1"/>
  <c r="H57" i="7"/>
  <c r="H53" i="13" s="1"/>
  <c r="G57" i="7"/>
  <c r="G53" i="13" s="1"/>
  <c r="F57" i="7"/>
  <c r="F53" i="13" s="1"/>
  <c r="E57" i="7"/>
  <c r="E53" i="13" s="1"/>
  <c r="D57" i="7"/>
  <c r="D53" i="13" s="1"/>
  <c r="C57" i="7"/>
  <c r="C53" i="13" s="1"/>
  <c r="B57" i="7"/>
  <c r="B53" i="13" s="1"/>
  <c r="A57" i="7"/>
  <c r="M56" i="7"/>
  <c r="L56" i="7"/>
  <c r="L52" i="13" s="1"/>
  <c r="K56" i="7"/>
  <c r="K52" i="13" s="1"/>
  <c r="J56" i="7"/>
  <c r="J52" i="13" s="1"/>
  <c r="J54" i="13" s="1"/>
  <c r="I56" i="7"/>
  <c r="H56" i="7"/>
  <c r="H52" i="13" s="1"/>
  <c r="G56" i="7"/>
  <c r="G52" i="13" s="1"/>
  <c r="F56" i="7"/>
  <c r="F52" i="13" s="1"/>
  <c r="F54" i="13" s="1"/>
  <c r="E56" i="7"/>
  <c r="D56" i="7"/>
  <c r="D52" i="13" s="1"/>
  <c r="C56" i="7"/>
  <c r="C52" i="13" s="1"/>
  <c r="B56" i="7"/>
  <c r="B52" i="13" s="1"/>
  <c r="A56" i="7"/>
  <c r="K48" i="7"/>
  <c r="H48" i="7"/>
  <c r="G48" i="7"/>
  <c r="C48" i="7"/>
  <c r="M46" i="7"/>
  <c r="M48" i="7" s="1"/>
  <c r="L46" i="7"/>
  <c r="L48" i="7" s="1"/>
  <c r="K46" i="7"/>
  <c r="J46" i="7"/>
  <c r="J48" i="7" s="1"/>
  <c r="I46" i="7"/>
  <c r="I48" i="7" s="1"/>
  <c r="H46" i="7"/>
  <c r="G46" i="7"/>
  <c r="F46" i="7"/>
  <c r="F48" i="7" s="1"/>
  <c r="E46" i="7"/>
  <c r="E48" i="7" s="1"/>
  <c r="D46" i="7"/>
  <c r="D48" i="7" s="1"/>
  <c r="C46" i="7"/>
  <c r="B46" i="7"/>
  <c r="N45" i="7"/>
  <c r="A45" i="7"/>
  <c r="N44" i="7"/>
  <c r="A44" i="7"/>
  <c r="M38" i="7"/>
  <c r="J38" i="7"/>
  <c r="I38" i="7"/>
  <c r="F38" i="7"/>
  <c r="E38" i="7"/>
  <c r="B38" i="7"/>
  <c r="N38" i="7" s="1"/>
  <c r="M36" i="7"/>
  <c r="L36" i="7"/>
  <c r="L38" i="7" s="1"/>
  <c r="K36" i="7"/>
  <c r="K38" i="7" s="1"/>
  <c r="J36" i="7"/>
  <c r="I36" i="7"/>
  <c r="H36" i="7"/>
  <c r="H38" i="7" s="1"/>
  <c r="G36" i="7"/>
  <c r="G38" i="7" s="1"/>
  <c r="F36" i="7"/>
  <c r="E36" i="7"/>
  <c r="D36" i="7"/>
  <c r="D38" i="7" s="1"/>
  <c r="C36" i="7"/>
  <c r="C38" i="7" s="1"/>
  <c r="B36" i="7"/>
  <c r="N36" i="7" s="1"/>
  <c r="N35" i="7"/>
  <c r="A35" i="7"/>
  <c r="N34" i="7"/>
  <c r="A34" i="7"/>
  <c r="L28" i="7"/>
  <c r="K28" i="7"/>
  <c r="H28" i="7"/>
  <c r="G28" i="7"/>
  <c r="D28" i="7"/>
  <c r="C28" i="7"/>
  <c r="M26" i="7"/>
  <c r="M28" i="7" s="1"/>
  <c r="L26" i="7"/>
  <c r="K26" i="7"/>
  <c r="J26" i="7"/>
  <c r="J28" i="7" s="1"/>
  <c r="I26" i="7"/>
  <c r="I28" i="7" s="1"/>
  <c r="H26" i="7"/>
  <c r="G26" i="7"/>
  <c r="F26" i="7"/>
  <c r="F28" i="7" s="1"/>
  <c r="E26" i="7"/>
  <c r="E28" i="7" s="1"/>
  <c r="D26" i="7"/>
  <c r="C26" i="7"/>
  <c r="B26" i="7"/>
  <c r="B28" i="7" s="1"/>
  <c r="N28" i="7" s="1"/>
  <c r="N25" i="7"/>
  <c r="A25" i="7"/>
  <c r="N24" i="7"/>
  <c r="A24" i="7"/>
  <c r="M18" i="7"/>
  <c r="J18" i="7"/>
  <c r="I18" i="7"/>
  <c r="F18" i="7"/>
  <c r="E18" i="7"/>
  <c r="B18" i="7"/>
  <c r="N18" i="7" s="1"/>
  <c r="M16" i="7"/>
  <c r="L16" i="7"/>
  <c r="L18" i="7" s="1"/>
  <c r="K16" i="7"/>
  <c r="K18" i="7" s="1"/>
  <c r="J16" i="7"/>
  <c r="I16" i="7"/>
  <c r="H16" i="7"/>
  <c r="H18" i="7" s="1"/>
  <c r="G16" i="7"/>
  <c r="G18" i="7" s="1"/>
  <c r="F16" i="7"/>
  <c r="E16" i="7"/>
  <c r="D16" i="7"/>
  <c r="D18" i="7" s="1"/>
  <c r="C16" i="7"/>
  <c r="C18" i="7" s="1"/>
  <c r="B16" i="7"/>
  <c r="N16" i="7" s="1"/>
  <c r="N15" i="7"/>
  <c r="A15" i="7"/>
  <c r="N14" i="7"/>
  <c r="A14" i="7"/>
  <c r="A7" i="7"/>
  <c r="A6" i="7"/>
  <c r="A5" i="7"/>
  <c r="A3" i="7"/>
  <c r="M58" i="6"/>
  <c r="M60" i="6" s="1"/>
  <c r="I58" i="6"/>
  <c r="I60" i="6" s="1"/>
  <c r="E58" i="6"/>
  <c r="E60" i="6" s="1"/>
  <c r="M57" i="6"/>
  <c r="M47" i="13" s="1"/>
  <c r="L57" i="6"/>
  <c r="L47" i="13" s="1"/>
  <c r="K57" i="6"/>
  <c r="K47" i="13" s="1"/>
  <c r="J57" i="6"/>
  <c r="J47" i="13" s="1"/>
  <c r="I57" i="6"/>
  <c r="I47" i="13" s="1"/>
  <c r="H57" i="6"/>
  <c r="H47" i="13" s="1"/>
  <c r="G57" i="6"/>
  <c r="G47" i="13" s="1"/>
  <c r="F57" i="6"/>
  <c r="F47" i="13" s="1"/>
  <c r="E57" i="6"/>
  <c r="E47" i="13" s="1"/>
  <c r="D57" i="6"/>
  <c r="D47" i="13" s="1"/>
  <c r="C57" i="6"/>
  <c r="C47" i="13" s="1"/>
  <c r="B57" i="6"/>
  <c r="B47" i="13" s="1"/>
  <c r="N47" i="13" s="1"/>
  <c r="A57" i="6"/>
  <c r="M56" i="6"/>
  <c r="M46" i="13" s="1"/>
  <c r="M48" i="13" s="1"/>
  <c r="L56" i="6"/>
  <c r="L46" i="13" s="1"/>
  <c r="L48" i="13" s="1"/>
  <c r="K56" i="6"/>
  <c r="K46" i="13" s="1"/>
  <c r="J56" i="6"/>
  <c r="J46" i="13" s="1"/>
  <c r="I56" i="6"/>
  <c r="I46" i="13" s="1"/>
  <c r="I48" i="13" s="1"/>
  <c r="H56" i="6"/>
  <c r="H46" i="13" s="1"/>
  <c r="H48" i="13" s="1"/>
  <c r="G56" i="6"/>
  <c r="G46" i="13" s="1"/>
  <c r="F56" i="6"/>
  <c r="F46" i="13" s="1"/>
  <c r="E56" i="6"/>
  <c r="E46" i="13" s="1"/>
  <c r="E48" i="13" s="1"/>
  <c r="D56" i="6"/>
  <c r="D46" i="13" s="1"/>
  <c r="D48" i="13" s="1"/>
  <c r="C56" i="6"/>
  <c r="C46" i="13" s="1"/>
  <c r="B56" i="6"/>
  <c r="B46" i="13" s="1"/>
  <c r="A56" i="6"/>
  <c r="M48" i="6"/>
  <c r="J48" i="6"/>
  <c r="I48" i="6"/>
  <c r="F48" i="6"/>
  <c r="E48" i="6"/>
  <c r="B48" i="6"/>
  <c r="M46" i="6"/>
  <c r="L46" i="6"/>
  <c r="L48" i="6" s="1"/>
  <c r="K46" i="6"/>
  <c r="K48" i="6" s="1"/>
  <c r="J46" i="6"/>
  <c r="I46" i="6"/>
  <c r="H46" i="6"/>
  <c r="H48" i="6" s="1"/>
  <c r="G46" i="6"/>
  <c r="G48" i="6" s="1"/>
  <c r="F46" i="6"/>
  <c r="E46" i="6"/>
  <c r="D46" i="6"/>
  <c r="D48" i="6" s="1"/>
  <c r="C46" i="6"/>
  <c r="C48" i="6" s="1"/>
  <c r="B46" i="6"/>
  <c r="N46" i="6" s="1"/>
  <c r="N45" i="6"/>
  <c r="A45" i="6"/>
  <c r="N44" i="6"/>
  <c r="A44" i="6"/>
  <c r="L38" i="6"/>
  <c r="K38" i="6"/>
  <c r="H38" i="6"/>
  <c r="G38" i="6"/>
  <c r="F38" i="6"/>
  <c r="E38" i="6"/>
  <c r="D38" i="6"/>
  <c r="C38" i="6"/>
  <c r="B38" i="6"/>
  <c r="M36" i="6"/>
  <c r="M38" i="6" s="1"/>
  <c r="L36" i="6"/>
  <c r="K36" i="6"/>
  <c r="J36" i="6"/>
  <c r="J38" i="6" s="1"/>
  <c r="I36" i="6"/>
  <c r="I38" i="6" s="1"/>
  <c r="H36" i="6"/>
  <c r="N35" i="6"/>
  <c r="A35" i="6"/>
  <c r="N34" i="6"/>
  <c r="A34" i="6"/>
  <c r="L28" i="6"/>
  <c r="K28" i="6"/>
  <c r="H28" i="6"/>
  <c r="G28" i="6"/>
  <c r="D28" i="6"/>
  <c r="C28" i="6"/>
  <c r="M26" i="6"/>
  <c r="M28" i="6" s="1"/>
  <c r="L26" i="6"/>
  <c r="K26" i="6"/>
  <c r="J26" i="6"/>
  <c r="J28" i="6" s="1"/>
  <c r="I26" i="6"/>
  <c r="I28" i="6" s="1"/>
  <c r="H26" i="6"/>
  <c r="G26" i="6"/>
  <c r="F26" i="6"/>
  <c r="F28" i="6" s="1"/>
  <c r="E26" i="6"/>
  <c r="E28" i="6" s="1"/>
  <c r="D26" i="6"/>
  <c r="C26" i="6"/>
  <c r="B26" i="6"/>
  <c r="B28" i="6" s="1"/>
  <c r="N28" i="6" s="1"/>
  <c r="N25" i="6"/>
  <c r="A25" i="6"/>
  <c r="N24" i="6"/>
  <c r="A24" i="6"/>
  <c r="M18" i="6"/>
  <c r="J18" i="6"/>
  <c r="I18" i="6"/>
  <c r="F18" i="6"/>
  <c r="E18" i="6"/>
  <c r="B18" i="6"/>
  <c r="M16" i="6"/>
  <c r="L16" i="6"/>
  <c r="L18" i="6" s="1"/>
  <c r="K16" i="6"/>
  <c r="K18" i="6" s="1"/>
  <c r="J16" i="6"/>
  <c r="I16" i="6"/>
  <c r="H16" i="6"/>
  <c r="H18" i="6" s="1"/>
  <c r="G16" i="6"/>
  <c r="G18" i="6" s="1"/>
  <c r="F16" i="6"/>
  <c r="E16" i="6"/>
  <c r="D16" i="6"/>
  <c r="D18" i="6" s="1"/>
  <c r="C16" i="6"/>
  <c r="C18" i="6" s="1"/>
  <c r="B16" i="6"/>
  <c r="N16" i="6" s="1"/>
  <c r="N15" i="6"/>
  <c r="A15" i="6"/>
  <c r="N14" i="6"/>
  <c r="A14" i="6"/>
  <c r="A7" i="6"/>
  <c r="A6" i="6"/>
  <c r="A5" i="6"/>
  <c r="A3" i="6"/>
  <c r="M58" i="5"/>
  <c r="M60" i="5" s="1"/>
  <c r="I58" i="5"/>
  <c r="I60" i="5" s="1"/>
  <c r="E58" i="5"/>
  <c r="E60" i="5" s="1"/>
  <c r="M57" i="5"/>
  <c r="M41" i="13" s="1"/>
  <c r="L57" i="5"/>
  <c r="L41" i="13" s="1"/>
  <c r="K57" i="5"/>
  <c r="K41" i="13" s="1"/>
  <c r="J57" i="5"/>
  <c r="J41" i="13" s="1"/>
  <c r="I57" i="5"/>
  <c r="I41" i="13" s="1"/>
  <c r="H57" i="5"/>
  <c r="H41" i="13" s="1"/>
  <c r="G57" i="5"/>
  <c r="G41" i="13" s="1"/>
  <c r="F57" i="5"/>
  <c r="F41" i="13" s="1"/>
  <c r="E57" i="5"/>
  <c r="E41" i="13" s="1"/>
  <c r="D57" i="5"/>
  <c r="D41" i="13" s="1"/>
  <c r="C57" i="5"/>
  <c r="C41" i="13" s="1"/>
  <c r="B57" i="5"/>
  <c r="B41" i="13" s="1"/>
  <c r="N41" i="13" s="1"/>
  <c r="A57" i="5"/>
  <c r="M56" i="5"/>
  <c r="M40" i="13" s="1"/>
  <c r="M42" i="13" s="1"/>
  <c r="L56" i="5"/>
  <c r="L40" i="13" s="1"/>
  <c r="L42" i="13" s="1"/>
  <c r="K56" i="5"/>
  <c r="K40" i="13" s="1"/>
  <c r="J56" i="5"/>
  <c r="J40" i="13" s="1"/>
  <c r="I56" i="5"/>
  <c r="I40" i="13" s="1"/>
  <c r="I42" i="13" s="1"/>
  <c r="H56" i="5"/>
  <c r="H40" i="13" s="1"/>
  <c r="H42" i="13" s="1"/>
  <c r="G56" i="5"/>
  <c r="G40" i="13" s="1"/>
  <c r="F56" i="5"/>
  <c r="F40" i="13" s="1"/>
  <c r="E56" i="5"/>
  <c r="E40" i="13" s="1"/>
  <c r="E42" i="13" s="1"/>
  <c r="D56" i="5"/>
  <c r="D40" i="13" s="1"/>
  <c r="D42" i="13" s="1"/>
  <c r="C56" i="5"/>
  <c r="C40" i="13" s="1"/>
  <c r="B56" i="5"/>
  <c r="B40" i="13" s="1"/>
  <c r="A56" i="5"/>
  <c r="M48" i="5"/>
  <c r="J48" i="5"/>
  <c r="I48" i="5"/>
  <c r="F48" i="5"/>
  <c r="E48" i="5"/>
  <c r="D48" i="5"/>
  <c r="C48" i="5"/>
  <c r="B48" i="5"/>
  <c r="M46" i="5"/>
  <c r="L46" i="5"/>
  <c r="L48" i="5" s="1"/>
  <c r="K46" i="5"/>
  <c r="K48" i="5" s="1"/>
  <c r="J46" i="5"/>
  <c r="I46" i="5"/>
  <c r="H46" i="5"/>
  <c r="H48" i="5" s="1"/>
  <c r="G46" i="5"/>
  <c r="G48" i="5" s="1"/>
  <c r="F46" i="5"/>
  <c r="E46" i="5"/>
  <c r="B46" i="5"/>
  <c r="N46" i="5" s="1"/>
  <c r="N45" i="5"/>
  <c r="A45" i="5"/>
  <c r="N44" i="5"/>
  <c r="A44" i="5"/>
  <c r="M38" i="5"/>
  <c r="J38" i="5"/>
  <c r="I38" i="5"/>
  <c r="F38" i="5"/>
  <c r="E38" i="5"/>
  <c r="B38" i="5"/>
  <c r="M36" i="5"/>
  <c r="L36" i="5"/>
  <c r="L38" i="5" s="1"/>
  <c r="K36" i="5"/>
  <c r="K38" i="5" s="1"/>
  <c r="J36" i="5"/>
  <c r="I36" i="5"/>
  <c r="H36" i="5"/>
  <c r="H38" i="5" s="1"/>
  <c r="G36" i="5"/>
  <c r="G38" i="5" s="1"/>
  <c r="F36" i="5"/>
  <c r="E36" i="5"/>
  <c r="D36" i="5"/>
  <c r="D38" i="5" s="1"/>
  <c r="C36" i="5"/>
  <c r="C38" i="5" s="1"/>
  <c r="B36" i="5"/>
  <c r="N36" i="5" s="1"/>
  <c r="N35" i="5"/>
  <c r="A35" i="5"/>
  <c r="N34" i="5"/>
  <c r="A34" i="5"/>
  <c r="L28" i="5"/>
  <c r="K28" i="5"/>
  <c r="H28" i="5"/>
  <c r="G28" i="5"/>
  <c r="D28" i="5"/>
  <c r="C28" i="5"/>
  <c r="M26" i="5"/>
  <c r="M28" i="5" s="1"/>
  <c r="L26" i="5"/>
  <c r="K26" i="5"/>
  <c r="J26" i="5"/>
  <c r="J28" i="5" s="1"/>
  <c r="I26" i="5"/>
  <c r="I28" i="5" s="1"/>
  <c r="H26" i="5"/>
  <c r="G26" i="5"/>
  <c r="F26" i="5"/>
  <c r="F28" i="5" s="1"/>
  <c r="E26" i="5"/>
  <c r="E28" i="5" s="1"/>
  <c r="D26" i="5"/>
  <c r="C26" i="5"/>
  <c r="B26" i="5"/>
  <c r="B28" i="5" s="1"/>
  <c r="N28" i="5" s="1"/>
  <c r="N25" i="5"/>
  <c r="A25" i="5"/>
  <c r="N24" i="5"/>
  <c r="A24" i="5"/>
  <c r="M18" i="5"/>
  <c r="J18" i="5"/>
  <c r="I18" i="5"/>
  <c r="F18" i="5"/>
  <c r="E18" i="5"/>
  <c r="B18" i="5"/>
  <c r="M16" i="5"/>
  <c r="L16" i="5"/>
  <c r="L18" i="5" s="1"/>
  <c r="K16" i="5"/>
  <c r="K18" i="5" s="1"/>
  <c r="J16" i="5"/>
  <c r="I16" i="5"/>
  <c r="H16" i="5"/>
  <c r="H18" i="5" s="1"/>
  <c r="G16" i="5"/>
  <c r="G18" i="5" s="1"/>
  <c r="F16" i="5"/>
  <c r="E16" i="5"/>
  <c r="D16" i="5"/>
  <c r="D18" i="5" s="1"/>
  <c r="C16" i="5"/>
  <c r="C18" i="5" s="1"/>
  <c r="B16" i="5"/>
  <c r="N16" i="5" s="1"/>
  <c r="N15" i="5"/>
  <c r="A15" i="5"/>
  <c r="N14" i="5"/>
  <c r="A14" i="5"/>
  <c r="A7" i="5"/>
  <c r="A6" i="5"/>
  <c r="A5" i="5"/>
  <c r="A3" i="5"/>
  <c r="M58" i="4"/>
  <c r="M60" i="4" s="1"/>
  <c r="I58" i="4"/>
  <c r="I60" i="4" s="1"/>
  <c r="E58" i="4"/>
  <c r="E60" i="4" s="1"/>
  <c r="M57" i="4"/>
  <c r="M35" i="13" s="1"/>
  <c r="L57" i="4"/>
  <c r="L35" i="13" s="1"/>
  <c r="K57" i="4"/>
  <c r="K35" i="13" s="1"/>
  <c r="J57" i="4"/>
  <c r="J35" i="13" s="1"/>
  <c r="I57" i="4"/>
  <c r="I35" i="13" s="1"/>
  <c r="H57" i="4"/>
  <c r="H35" i="13" s="1"/>
  <c r="G57" i="4"/>
  <c r="G35" i="13" s="1"/>
  <c r="F57" i="4"/>
  <c r="F35" i="13" s="1"/>
  <c r="E57" i="4"/>
  <c r="E35" i="13" s="1"/>
  <c r="D57" i="4"/>
  <c r="D35" i="13" s="1"/>
  <c r="C57" i="4"/>
  <c r="C35" i="13" s="1"/>
  <c r="B57" i="4"/>
  <c r="A57" i="4"/>
  <c r="M56" i="4"/>
  <c r="M34" i="13" s="1"/>
  <c r="M36" i="13" s="1"/>
  <c r="L56" i="4"/>
  <c r="K56" i="4"/>
  <c r="K34" i="13" s="1"/>
  <c r="J56" i="4"/>
  <c r="J34" i="13" s="1"/>
  <c r="I56" i="4"/>
  <c r="I34" i="13" s="1"/>
  <c r="I36" i="13" s="1"/>
  <c r="H56" i="4"/>
  <c r="G56" i="4"/>
  <c r="G34" i="13" s="1"/>
  <c r="F56" i="4"/>
  <c r="F34" i="13" s="1"/>
  <c r="E56" i="4"/>
  <c r="E34" i="13" s="1"/>
  <c r="E36" i="13" s="1"/>
  <c r="D56" i="4"/>
  <c r="C56" i="4"/>
  <c r="C34" i="13" s="1"/>
  <c r="B56" i="4"/>
  <c r="B34" i="13" s="1"/>
  <c r="A56" i="4"/>
  <c r="M48" i="4"/>
  <c r="J48" i="4"/>
  <c r="I48" i="4"/>
  <c r="F48" i="4"/>
  <c r="E48" i="4"/>
  <c r="B48" i="4"/>
  <c r="M46" i="4"/>
  <c r="L46" i="4"/>
  <c r="L48" i="4" s="1"/>
  <c r="K46" i="4"/>
  <c r="K48" i="4" s="1"/>
  <c r="J46" i="4"/>
  <c r="I46" i="4"/>
  <c r="H46" i="4"/>
  <c r="H48" i="4" s="1"/>
  <c r="G46" i="4"/>
  <c r="G48" i="4" s="1"/>
  <c r="F46" i="4"/>
  <c r="E46" i="4"/>
  <c r="D46" i="4"/>
  <c r="D48" i="4" s="1"/>
  <c r="N48" i="4" s="1"/>
  <c r="C46" i="4"/>
  <c r="C48" i="4" s="1"/>
  <c r="B46" i="4"/>
  <c r="N45" i="4"/>
  <c r="A45" i="4"/>
  <c r="N44" i="4"/>
  <c r="A44" i="4"/>
  <c r="L38" i="4"/>
  <c r="K38" i="4"/>
  <c r="H38" i="4"/>
  <c r="M36" i="4"/>
  <c r="M38" i="4" s="1"/>
  <c r="L36" i="4"/>
  <c r="K36" i="4"/>
  <c r="J36" i="4"/>
  <c r="J38" i="4" s="1"/>
  <c r="I36" i="4"/>
  <c r="I38" i="4" s="1"/>
  <c r="G36" i="4"/>
  <c r="G38" i="4" s="1"/>
  <c r="F36" i="4"/>
  <c r="F38" i="4" s="1"/>
  <c r="E36" i="4"/>
  <c r="E38" i="4" s="1"/>
  <c r="D36" i="4"/>
  <c r="N36" i="4" s="1"/>
  <c r="C36" i="4"/>
  <c r="C38" i="4" s="1"/>
  <c r="B36" i="4"/>
  <c r="B38" i="4" s="1"/>
  <c r="N35" i="4"/>
  <c r="A35" i="4"/>
  <c r="N34" i="4"/>
  <c r="A34" i="4"/>
  <c r="M28" i="4"/>
  <c r="L28" i="4"/>
  <c r="I28" i="4"/>
  <c r="H28" i="4"/>
  <c r="E28" i="4"/>
  <c r="D28" i="4"/>
  <c r="B28" i="4"/>
  <c r="M26" i="4"/>
  <c r="L26" i="4"/>
  <c r="K26" i="4"/>
  <c r="K28" i="4" s="1"/>
  <c r="J26" i="4"/>
  <c r="J28" i="4" s="1"/>
  <c r="I26" i="4"/>
  <c r="H26" i="4"/>
  <c r="G26" i="4"/>
  <c r="G28" i="4" s="1"/>
  <c r="F26" i="4"/>
  <c r="F28" i="4" s="1"/>
  <c r="E26" i="4"/>
  <c r="D26" i="4"/>
  <c r="C26" i="4"/>
  <c r="C28" i="4" s="1"/>
  <c r="N25" i="4"/>
  <c r="A25" i="4"/>
  <c r="N24" i="4"/>
  <c r="A24" i="4"/>
  <c r="M18" i="4"/>
  <c r="J18" i="4"/>
  <c r="I18" i="4"/>
  <c r="F18" i="4"/>
  <c r="E18" i="4"/>
  <c r="B18" i="4"/>
  <c r="N18" i="4" s="1"/>
  <c r="M16" i="4"/>
  <c r="L16" i="4"/>
  <c r="L18" i="4" s="1"/>
  <c r="K16" i="4"/>
  <c r="K18" i="4" s="1"/>
  <c r="J16" i="4"/>
  <c r="I16" i="4"/>
  <c r="H16" i="4"/>
  <c r="H18" i="4" s="1"/>
  <c r="G16" i="4"/>
  <c r="G18" i="4" s="1"/>
  <c r="F16" i="4"/>
  <c r="E16" i="4"/>
  <c r="D16" i="4"/>
  <c r="D18" i="4" s="1"/>
  <c r="C16" i="4"/>
  <c r="C18" i="4" s="1"/>
  <c r="B16" i="4"/>
  <c r="N16" i="4" s="1"/>
  <c r="N15" i="4"/>
  <c r="A15" i="4"/>
  <c r="N14" i="4"/>
  <c r="A14" i="4"/>
  <c r="A7" i="4"/>
  <c r="A6" i="4"/>
  <c r="A5" i="4"/>
  <c r="A3" i="4"/>
  <c r="M58" i="3"/>
  <c r="M60" i="3" s="1"/>
  <c r="I58" i="3"/>
  <c r="I60" i="3" s="1"/>
  <c r="E58" i="3"/>
  <c r="E60" i="3" s="1"/>
  <c r="M57" i="3"/>
  <c r="M29" i="13" s="1"/>
  <c r="L57" i="3"/>
  <c r="L29" i="13" s="1"/>
  <c r="K57" i="3"/>
  <c r="K29" i="13" s="1"/>
  <c r="J57" i="3"/>
  <c r="I57" i="3"/>
  <c r="I29" i="13" s="1"/>
  <c r="H57" i="3"/>
  <c r="H29" i="13" s="1"/>
  <c r="G57" i="3"/>
  <c r="G29" i="13" s="1"/>
  <c r="F57" i="3"/>
  <c r="E57" i="3"/>
  <c r="E29" i="13" s="1"/>
  <c r="D57" i="3"/>
  <c r="D29" i="13" s="1"/>
  <c r="C57" i="3"/>
  <c r="C29" i="13" s="1"/>
  <c r="B57" i="3"/>
  <c r="A57" i="3"/>
  <c r="M56" i="3"/>
  <c r="M28" i="13" s="1"/>
  <c r="M30" i="13" s="1"/>
  <c r="L56" i="3"/>
  <c r="K56" i="3"/>
  <c r="K28" i="13" s="1"/>
  <c r="J56" i="3"/>
  <c r="J28" i="13" s="1"/>
  <c r="I56" i="3"/>
  <c r="I28" i="13" s="1"/>
  <c r="I30" i="13" s="1"/>
  <c r="H56" i="3"/>
  <c r="G56" i="3"/>
  <c r="G28" i="13" s="1"/>
  <c r="F56" i="3"/>
  <c r="F28" i="13" s="1"/>
  <c r="E56" i="3"/>
  <c r="E28" i="13" s="1"/>
  <c r="E30" i="13" s="1"/>
  <c r="D56" i="3"/>
  <c r="C56" i="3"/>
  <c r="C28" i="13" s="1"/>
  <c r="B56" i="3"/>
  <c r="B28" i="13" s="1"/>
  <c r="A56" i="3"/>
  <c r="J48" i="3"/>
  <c r="F48" i="3"/>
  <c r="B48" i="3"/>
  <c r="N48" i="3" s="1"/>
  <c r="M46" i="3"/>
  <c r="M48" i="3" s="1"/>
  <c r="L46" i="3"/>
  <c r="L48" i="3" s="1"/>
  <c r="K46" i="3"/>
  <c r="K48" i="3" s="1"/>
  <c r="J46" i="3"/>
  <c r="I46" i="3"/>
  <c r="I48" i="3" s="1"/>
  <c r="H46" i="3"/>
  <c r="H48" i="3" s="1"/>
  <c r="G46" i="3"/>
  <c r="G48" i="3" s="1"/>
  <c r="F46" i="3"/>
  <c r="E46" i="3"/>
  <c r="E48" i="3" s="1"/>
  <c r="D46" i="3"/>
  <c r="D48" i="3" s="1"/>
  <c r="C46" i="3"/>
  <c r="C48" i="3" s="1"/>
  <c r="B46" i="3"/>
  <c r="N45" i="3"/>
  <c r="A45" i="3"/>
  <c r="N44" i="3"/>
  <c r="A44" i="3"/>
  <c r="L38" i="3"/>
  <c r="H38" i="3"/>
  <c r="D38" i="3"/>
  <c r="M36" i="3"/>
  <c r="M38" i="3" s="1"/>
  <c r="L36" i="3"/>
  <c r="K36" i="3"/>
  <c r="K38" i="3" s="1"/>
  <c r="J36" i="3"/>
  <c r="J38" i="3" s="1"/>
  <c r="I36" i="3"/>
  <c r="I38" i="3" s="1"/>
  <c r="H36" i="3"/>
  <c r="G36" i="3"/>
  <c r="G38" i="3" s="1"/>
  <c r="F36" i="3"/>
  <c r="F38" i="3" s="1"/>
  <c r="E36" i="3"/>
  <c r="E38" i="3" s="1"/>
  <c r="D36" i="3"/>
  <c r="C36" i="3"/>
  <c r="C38" i="3" s="1"/>
  <c r="B36" i="3"/>
  <c r="B38" i="3" s="1"/>
  <c r="N38" i="3" s="1"/>
  <c r="N35" i="3"/>
  <c r="A35" i="3"/>
  <c r="N34" i="3"/>
  <c r="A34" i="3"/>
  <c r="J28" i="3"/>
  <c r="F28" i="3"/>
  <c r="B28" i="3"/>
  <c r="N28" i="3" s="1"/>
  <c r="M26" i="3"/>
  <c r="M28" i="3" s="1"/>
  <c r="L26" i="3"/>
  <c r="L28" i="3" s="1"/>
  <c r="K26" i="3"/>
  <c r="K28" i="3" s="1"/>
  <c r="J26" i="3"/>
  <c r="I26" i="3"/>
  <c r="I28" i="3" s="1"/>
  <c r="H26" i="3"/>
  <c r="H28" i="3" s="1"/>
  <c r="G26" i="3"/>
  <c r="G28" i="3" s="1"/>
  <c r="F26" i="3"/>
  <c r="E26" i="3"/>
  <c r="E28" i="3" s="1"/>
  <c r="D26" i="3"/>
  <c r="D28" i="3" s="1"/>
  <c r="C26" i="3"/>
  <c r="C28" i="3" s="1"/>
  <c r="B26" i="3"/>
  <c r="N26" i="3" s="1"/>
  <c r="N25" i="3"/>
  <c r="A25" i="3"/>
  <c r="N24" i="3"/>
  <c r="A24" i="3"/>
  <c r="L18" i="3"/>
  <c r="H18" i="3"/>
  <c r="D18" i="3"/>
  <c r="M16" i="3"/>
  <c r="M18" i="3" s="1"/>
  <c r="L16" i="3"/>
  <c r="K16" i="3"/>
  <c r="K18" i="3" s="1"/>
  <c r="J16" i="3"/>
  <c r="J18" i="3" s="1"/>
  <c r="I16" i="3"/>
  <c r="I18" i="3" s="1"/>
  <c r="H16" i="3"/>
  <c r="G16" i="3"/>
  <c r="G18" i="3" s="1"/>
  <c r="F16" i="3"/>
  <c r="F18" i="3" s="1"/>
  <c r="E16" i="3"/>
  <c r="E18" i="3" s="1"/>
  <c r="D16" i="3"/>
  <c r="C16" i="3"/>
  <c r="C18" i="3" s="1"/>
  <c r="B16" i="3"/>
  <c r="B18" i="3" s="1"/>
  <c r="N15" i="3"/>
  <c r="A15" i="3"/>
  <c r="N14" i="3"/>
  <c r="A14" i="3"/>
  <c r="A7" i="3"/>
  <c r="A6" i="3"/>
  <c r="A5" i="3"/>
  <c r="A3" i="3"/>
  <c r="K58" i="2"/>
  <c r="K60" i="2" s="1"/>
  <c r="G58" i="2"/>
  <c r="G60" i="2" s="1"/>
  <c r="M57" i="2"/>
  <c r="M23" i="13" s="1"/>
  <c r="L57" i="2"/>
  <c r="K57" i="2"/>
  <c r="K23" i="13" s="1"/>
  <c r="J57" i="2"/>
  <c r="J23" i="13" s="1"/>
  <c r="I57" i="2"/>
  <c r="I23" i="13" s="1"/>
  <c r="H57" i="2"/>
  <c r="G57" i="2"/>
  <c r="G23" i="13" s="1"/>
  <c r="F57" i="2"/>
  <c r="F23" i="13" s="1"/>
  <c r="E57" i="2"/>
  <c r="E23" i="13" s="1"/>
  <c r="D57" i="2"/>
  <c r="C57" i="2"/>
  <c r="C23" i="13" s="1"/>
  <c r="B57" i="2"/>
  <c r="B23" i="13" s="1"/>
  <c r="A57" i="2"/>
  <c r="M56" i="2"/>
  <c r="M22" i="13" s="1"/>
  <c r="L56" i="2"/>
  <c r="L22" i="13" s="1"/>
  <c r="K56" i="2"/>
  <c r="K22" i="13" s="1"/>
  <c r="K24" i="13" s="1"/>
  <c r="J56" i="2"/>
  <c r="I56" i="2"/>
  <c r="I22" i="13" s="1"/>
  <c r="H56" i="2"/>
  <c r="H22" i="13" s="1"/>
  <c r="G56" i="2"/>
  <c r="G22" i="13" s="1"/>
  <c r="G24" i="13" s="1"/>
  <c r="F56" i="2"/>
  <c r="E56" i="2"/>
  <c r="E22" i="13" s="1"/>
  <c r="D56" i="2"/>
  <c r="D22" i="13" s="1"/>
  <c r="C56" i="2"/>
  <c r="C22" i="13" s="1"/>
  <c r="C24" i="13" s="1"/>
  <c r="B56" i="2"/>
  <c r="N56" i="2" s="1"/>
  <c r="A56" i="2"/>
  <c r="L48" i="2"/>
  <c r="I48" i="2"/>
  <c r="H48" i="2"/>
  <c r="D48" i="2"/>
  <c r="M46" i="2"/>
  <c r="M48" i="2" s="1"/>
  <c r="L46" i="2"/>
  <c r="K46" i="2"/>
  <c r="K48" i="2" s="1"/>
  <c r="J46" i="2"/>
  <c r="J48" i="2" s="1"/>
  <c r="I46" i="2"/>
  <c r="H46" i="2"/>
  <c r="G46" i="2"/>
  <c r="G48" i="2" s="1"/>
  <c r="F46" i="2"/>
  <c r="F48" i="2" s="1"/>
  <c r="E46" i="2"/>
  <c r="E48" i="2" s="1"/>
  <c r="D46" i="2"/>
  <c r="C46" i="2"/>
  <c r="C48" i="2" s="1"/>
  <c r="B46" i="2"/>
  <c r="B48" i="2" s="1"/>
  <c r="N45" i="2"/>
  <c r="A45" i="2"/>
  <c r="N44" i="2"/>
  <c r="A44" i="2"/>
  <c r="J38" i="2"/>
  <c r="G38" i="2"/>
  <c r="F38" i="2"/>
  <c r="B38" i="2"/>
  <c r="M36" i="2"/>
  <c r="M38" i="2" s="1"/>
  <c r="L36" i="2"/>
  <c r="L38" i="2" s="1"/>
  <c r="K36" i="2"/>
  <c r="K38" i="2" s="1"/>
  <c r="J36" i="2"/>
  <c r="I36" i="2"/>
  <c r="I38" i="2" s="1"/>
  <c r="H36" i="2"/>
  <c r="H38" i="2" s="1"/>
  <c r="G36" i="2"/>
  <c r="F36" i="2"/>
  <c r="E36" i="2"/>
  <c r="E38" i="2" s="1"/>
  <c r="D36" i="2"/>
  <c r="D38" i="2" s="1"/>
  <c r="C36" i="2"/>
  <c r="C38" i="2" s="1"/>
  <c r="N38" i="2" s="1"/>
  <c r="B36" i="2"/>
  <c r="N35" i="2"/>
  <c r="A35" i="2"/>
  <c r="N34" i="2"/>
  <c r="A34" i="2"/>
  <c r="M28" i="2"/>
  <c r="L28" i="2"/>
  <c r="H28" i="2"/>
  <c r="E28" i="2"/>
  <c r="D28" i="2"/>
  <c r="M26" i="2"/>
  <c r="L26" i="2"/>
  <c r="K26" i="2"/>
  <c r="K28" i="2" s="1"/>
  <c r="J26" i="2"/>
  <c r="J28" i="2" s="1"/>
  <c r="I26" i="2"/>
  <c r="I28" i="2" s="1"/>
  <c r="H26" i="2"/>
  <c r="G26" i="2"/>
  <c r="G28" i="2" s="1"/>
  <c r="F26" i="2"/>
  <c r="F28" i="2" s="1"/>
  <c r="E26" i="2"/>
  <c r="D26" i="2"/>
  <c r="C26" i="2"/>
  <c r="C28" i="2" s="1"/>
  <c r="B26" i="2"/>
  <c r="B28" i="2" s="1"/>
  <c r="N25" i="2"/>
  <c r="A25" i="2"/>
  <c r="N24" i="2"/>
  <c r="A24" i="2"/>
  <c r="J18" i="2"/>
  <c r="F18" i="2"/>
  <c r="B18" i="2"/>
  <c r="M16" i="2"/>
  <c r="M18" i="2" s="1"/>
  <c r="L16" i="2"/>
  <c r="L18" i="2" s="1"/>
  <c r="K16" i="2"/>
  <c r="K18" i="2" s="1"/>
  <c r="J16" i="2"/>
  <c r="I16" i="2"/>
  <c r="I18" i="2" s="1"/>
  <c r="H16" i="2"/>
  <c r="H18" i="2" s="1"/>
  <c r="G16" i="2"/>
  <c r="G18" i="2" s="1"/>
  <c r="F16" i="2"/>
  <c r="E16" i="2"/>
  <c r="E18" i="2" s="1"/>
  <c r="D16" i="2"/>
  <c r="D18" i="2" s="1"/>
  <c r="C16" i="2"/>
  <c r="C18" i="2" s="1"/>
  <c r="B16" i="2"/>
  <c r="N15" i="2"/>
  <c r="A15" i="2"/>
  <c r="N14" i="2"/>
  <c r="A14" i="2"/>
  <c r="A7" i="2"/>
  <c r="A6" i="2"/>
  <c r="A5" i="2"/>
  <c r="A3" i="2"/>
  <c r="I60" i="1"/>
  <c r="M58" i="1"/>
  <c r="M60" i="1" s="1"/>
  <c r="I58" i="1"/>
  <c r="F58" i="1"/>
  <c r="F60" i="1" s="1"/>
  <c r="M57" i="1"/>
  <c r="M17" i="13" s="1"/>
  <c r="L57" i="1"/>
  <c r="L17" i="13" s="1"/>
  <c r="K57" i="1"/>
  <c r="K17" i="13" s="1"/>
  <c r="K92" i="13" s="1"/>
  <c r="J57" i="1"/>
  <c r="J17" i="13" s="1"/>
  <c r="I57" i="1"/>
  <c r="I17" i="13" s="1"/>
  <c r="H57" i="1"/>
  <c r="H17" i="13" s="1"/>
  <c r="G57" i="1"/>
  <c r="G17" i="13" s="1"/>
  <c r="G92" i="13" s="1"/>
  <c r="F57" i="1"/>
  <c r="F17" i="13" s="1"/>
  <c r="E57" i="1"/>
  <c r="E17" i="13" s="1"/>
  <c r="D57" i="1"/>
  <c r="D17" i="13" s="1"/>
  <c r="C57" i="1"/>
  <c r="C17" i="13" s="1"/>
  <c r="C92" i="13" s="1"/>
  <c r="B57" i="1"/>
  <c r="B17" i="13" s="1"/>
  <c r="M56" i="1"/>
  <c r="M16" i="13" s="1"/>
  <c r="L56" i="1"/>
  <c r="K56" i="1"/>
  <c r="J56" i="1"/>
  <c r="J16" i="13" s="1"/>
  <c r="I56" i="1"/>
  <c r="I16" i="13" s="1"/>
  <c r="H56" i="1"/>
  <c r="G56" i="1"/>
  <c r="F56" i="1"/>
  <c r="F16" i="13" s="1"/>
  <c r="E56" i="1"/>
  <c r="E16" i="13" s="1"/>
  <c r="D56" i="1"/>
  <c r="C56" i="1"/>
  <c r="B56" i="1"/>
  <c r="B16" i="13" s="1"/>
  <c r="M48" i="1"/>
  <c r="L48" i="1"/>
  <c r="I48" i="1"/>
  <c r="H48" i="1"/>
  <c r="E48" i="1"/>
  <c r="D48" i="1"/>
  <c r="M46" i="1"/>
  <c r="L46" i="1"/>
  <c r="K46" i="1"/>
  <c r="K48" i="1" s="1"/>
  <c r="J46" i="1"/>
  <c r="J48" i="1" s="1"/>
  <c r="I46" i="1"/>
  <c r="H46" i="1"/>
  <c r="G46" i="1"/>
  <c r="G48" i="1" s="1"/>
  <c r="F46" i="1"/>
  <c r="F48" i="1" s="1"/>
  <c r="E46" i="1"/>
  <c r="D46" i="1"/>
  <c r="C46" i="1"/>
  <c r="C48" i="1" s="1"/>
  <c r="B46" i="1"/>
  <c r="B48" i="1" s="1"/>
  <c r="N45" i="1"/>
  <c r="N44" i="1"/>
  <c r="L38" i="1"/>
  <c r="H38" i="1"/>
  <c r="D38" i="1"/>
  <c r="M36" i="1"/>
  <c r="M38" i="1" s="1"/>
  <c r="L36" i="1"/>
  <c r="K36" i="1"/>
  <c r="K38" i="1" s="1"/>
  <c r="J36" i="1"/>
  <c r="J38" i="1" s="1"/>
  <c r="I36" i="1"/>
  <c r="I38" i="1" s="1"/>
  <c r="H36" i="1"/>
  <c r="G36" i="1"/>
  <c r="G38" i="1" s="1"/>
  <c r="F36" i="1"/>
  <c r="F38" i="1" s="1"/>
  <c r="E36" i="1"/>
  <c r="E38" i="1" s="1"/>
  <c r="D36" i="1"/>
  <c r="C36" i="1"/>
  <c r="C38" i="1" s="1"/>
  <c r="B36" i="1"/>
  <c r="B38" i="1" s="1"/>
  <c r="N35" i="1"/>
  <c r="N34" i="1"/>
  <c r="L28" i="1"/>
  <c r="I28" i="1"/>
  <c r="H28" i="1"/>
  <c r="D28" i="1"/>
  <c r="M26" i="1"/>
  <c r="M28" i="1" s="1"/>
  <c r="L26" i="1"/>
  <c r="K26" i="1"/>
  <c r="K28" i="1" s="1"/>
  <c r="J26" i="1"/>
  <c r="J28" i="1" s="1"/>
  <c r="I26" i="1"/>
  <c r="H26" i="1"/>
  <c r="G26" i="1"/>
  <c r="G28" i="1" s="1"/>
  <c r="F26" i="1"/>
  <c r="F28" i="1" s="1"/>
  <c r="E26" i="1"/>
  <c r="E28" i="1" s="1"/>
  <c r="D26" i="1"/>
  <c r="C26" i="1"/>
  <c r="C28" i="1" s="1"/>
  <c r="B26" i="1"/>
  <c r="B28" i="1" s="1"/>
  <c r="N25" i="1"/>
  <c r="N24" i="1"/>
  <c r="M18" i="1"/>
  <c r="L18" i="1"/>
  <c r="I18" i="1"/>
  <c r="H18" i="1"/>
  <c r="E18" i="1"/>
  <c r="D18" i="1"/>
  <c r="M16" i="1"/>
  <c r="L16" i="1"/>
  <c r="K16" i="1"/>
  <c r="K18" i="1" s="1"/>
  <c r="J16" i="1"/>
  <c r="J18" i="1" s="1"/>
  <c r="I16" i="1"/>
  <c r="H16" i="1"/>
  <c r="G16" i="1"/>
  <c r="G18" i="1" s="1"/>
  <c r="F16" i="1"/>
  <c r="F18" i="1" s="1"/>
  <c r="E16" i="1"/>
  <c r="D16" i="1"/>
  <c r="C16" i="1"/>
  <c r="C18" i="1" s="1"/>
  <c r="B16" i="1"/>
  <c r="B18" i="1" s="1"/>
  <c r="N15" i="1"/>
  <c r="N14" i="1"/>
  <c r="E58" i="1" l="1"/>
  <c r="E60" i="1" s="1"/>
  <c r="N18" i="2"/>
  <c r="F22" i="13"/>
  <c r="F24" i="13" s="1"/>
  <c r="F58" i="2"/>
  <c r="F60" i="2" s="1"/>
  <c r="L23" i="13"/>
  <c r="L24" i="13" s="1"/>
  <c r="L58" i="2"/>
  <c r="L60" i="2" s="1"/>
  <c r="N38" i="6"/>
  <c r="N38" i="1"/>
  <c r="N36" i="1"/>
  <c r="N17" i="13"/>
  <c r="F92" i="13"/>
  <c r="N57" i="1"/>
  <c r="N36" i="2"/>
  <c r="N18" i="3"/>
  <c r="B29" i="13"/>
  <c r="B58" i="3"/>
  <c r="F29" i="13"/>
  <c r="F58" i="3"/>
  <c r="F60" i="3" s="1"/>
  <c r="J29" i="13"/>
  <c r="J92" i="13" s="1"/>
  <c r="J58" i="3"/>
  <c r="J60" i="3" s="1"/>
  <c r="N57" i="3"/>
  <c r="D38" i="4"/>
  <c r="N38" i="4" s="1"/>
  <c r="N46" i="4"/>
  <c r="N18" i="5"/>
  <c r="N38" i="5"/>
  <c r="N48" i="5"/>
  <c r="N48" i="6"/>
  <c r="N48" i="2"/>
  <c r="N46" i="2"/>
  <c r="B22" i="13"/>
  <c r="B91" i="13" s="1"/>
  <c r="B58" i="2"/>
  <c r="D23" i="13"/>
  <c r="D58" i="2"/>
  <c r="D60" i="2" s="1"/>
  <c r="H23" i="13"/>
  <c r="H24" i="13" s="1"/>
  <c r="H58" i="2"/>
  <c r="H60" i="2" s="1"/>
  <c r="N48" i="1"/>
  <c r="N46" i="1"/>
  <c r="C16" i="13"/>
  <c r="C58" i="1"/>
  <c r="C60" i="1" s="1"/>
  <c r="G16" i="13"/>
  <c r="G58" i="1"/>
  <c r="G60" i="1" s="1"/>
  <c r="K16" i="13"/>
  <c r="K58" i="1"/>
  <c r="K60" i="1" s="1"/>
  <c r="B58" i="1"/>
  <c r="J58" i="1"/>
  <c r="J60" i="1" s="1"/>
  <c r="N28" i="2"/>
  <c r="N26" i="2"/>
  <c r="C58" i="2"/>
  <c r="C60" i="2" s="1"/>
  <c r="D28" i="13"/>
  <c r="D30" i="13" s="1"/>
  <c r="D58" i="3"/>
  <c r="D60" i="3" s="1"/>
  <c r="H28" i="13"/>
  <c r="H30" i="13" s="1"/>
  <c r="H58" i="3"/>
  <c r="H60" i="3" s="1"/>
  <c r="L28" i="13"/>
  <c r="L30" i="13" s="1"/>
  <c r="L58" i="3"/>
  <c r="L60" i="3" s="1"/>
  <c r="N26" i="4"/>
  <c r="B35" i="13"/>
  <c r="N35" i="13" s="1"/>
  <c r="B58" i="4"/>
  <c r="N57" i="4"/>
  <c r="N18" i="6"/>
  <c r="N28" i="1"/>
  <c r="N26" i="1"/>
  <c r="J22" i="13"/>
  <c r="J24" i="13" s="1"/>
  <c r="J58" i="2"/>
  <c r="J60" i="2" s="1"/>
  <c r="N18" i="1"/>
  <c r="N16" i="1"/>
  <c r="D16" i="13"/>
  <c r="D58" i="1"/>
  <c r="D60" i="1" s="1"/>
  <c r="H16" i="13"/>
  <c r="H58" i="1"/>
  <c r="H60" i="1" s="1"/>
  <c r="L16" i="13"/>
  <c r="L58" i="1"/>
  <c r="L60" i="1" s="1"/>
  <c r="N16" i="2"/>
  <c r="N46" i="3"/>
  <c r="N28" i="4"/>
  <c r="D34" i="13"/>
  <c r="D36" i="13" s="1"/>
  <c r="D58" i="4"/>
  <c r="D60" i="4" s="1"/>
  <c r="H34" i="13"/>
  <c r="H36" i="13" s="1"/>
  <c r="H58" i="4"/>
  <c r="H60" i="4" s="1"/>
  <c r="L34" i="13"/>
  <c r="L36" i="13" s="1"/>
  <c r="L58" i="4"/>
  <c r="L60" i="4" s="1"/>
  <c r="N57" i="5"/>
  <c r="N57" i="6"/>
  <c r="B54" i="13"/>
  <c r="N56" i="7"/>
  <c r="F58" i="7"/>
  <c r="F60" i="7" s="1"/>
  <c r="N57" i="10"/>
  <c r="N16" i="3"/>
  <c r="N36" i="3"/>
  <c r="F58" i="4"/>
  <c r="F60" i="4" s="1"/>
  <c r="J58" i="4"/>
  <c r="J60" i="4" s="1"/>
  <c r="N26" i="5"/>
  <c r="B58" i="5"/>
  <c r="F58" i="5"/>
  <c r="F60" i="5" s="1"/>
  <c r="J58" i="5"/>
  <c r="J60" i="5" s="1"/>
  <c r="N26" i="6"/>
  <c r="N36" i="6"/>
  <c r="B58" i="6"/>
  <c r="F58" i="6"/>
  <c r="F60" i="6" s="1"/>
  <c r="J58" i="6"/>
  <c r="J60" i="6" s="1"/>
  <c r="N26" i="7"/>
  <c r="B48" i="7"/>
  <c r="N48" i="7" s="1"/>
  <c r="N46" i="7"/>
  <c r="G58" i="7"/>
  <c r="G60" i="7" s="1"/>
  <c r="N57" i="8"/>
  <c r="N38" i="10"/>
  <c r="D70" i="13"/>
  <c r="D72" i="13" s="1"/>
  <c r="D58" i="10"/>
  <c r="D60" i="10" s="1"/>
  <c r="H70" i="13"/>
  <c r="H72" i="13" s="1"/>
  <c r="H58" i="10"/>
  <c r="H60" i="10" s="1"/>
  <c r="L70" i="13"/>
  <c r="L72" i="13" s="1"/>
  <c r="L58" i="10"/>
  <c r="L60" i="10" s="1"/>
  <c r="E91" i="13"/>
  <c r="E93" i="13" s="1"/>
  <c r="E95" i="13" s="1"/>
  <c r="E18" i="13"/>
  <c r="I18" i="13"/>
  <c r="M91" i="13"/>
  <c r="M18" i="13"/>
  <c r="D92" i="13"/>
  <c r="L92" i="13"/>
  <c r="D24" i="13"/>
  <c r="N23" i="13"/>
  <c r="N57" i="2"/>
  <c r="E58" i="2"/>
  <c r="E60" i="2" s="1"/>
  <c r="I58" i="2"/>
  <c r="I60" i="2" s="1"/>
  <c r="M58" i="2"/>
  <c r="M60" i="2" s="1"/>
  <c r="B30" i="13"/>
  <c r="F30" i="13"/>
  <c r="J30" i="13"/>
  <c r="N56" i="3"/>
  <c r="C58" i="3"/>
  <c r="C60" i="3" s="1"/>
  <c r="G58" i="3"/>
  <c r="G60" i="3" s="1"/>
  <c r="K58" i="3"/>
  <c r="K60" i="3" s="1"/>
  <c r="N34" i="13"/>
  <c r="B36" i="13"/>
  <c r="F36" i="13"/>
  <c r="J36" i="13"/>
  <c r="N56" i="4"/>
  <c r="C58" i="4"/>
  <c r="C60" i="4" s="1"/>
  <c r="G58" i="4"/>
  <c r="G60" i="4" s="1"/>
  <c r="K58" i="4"/>
  <c r="K60" i="4" s="1"/>
  <c r="B42" i="13"/>
  <c r="N40" i="13"/>
  <c r="F42" i="13"/>
  <c r="J42" i="13"/>
  <c r="N56" i="5"/>
  <c r="C58" i="5"/>
  <c r="C60" i="5" s="1"/>
  <c r="G58" i="5"/>
  <c r="G60" i="5" s="1"/>
  <c r="K58" i="5"/>
  <c r="K60" i="5" s="1"/>
  <c r="B48" i="13"/>
  <c r="N46" i="13"/>
  <c r="F48" i="13"/>
  <c r="J48" i="13"/>
  <c r="N56" i="6"/>
  <c r="C58" i="6"/>
  <c r="C60" i="6" s="1"/>
  <c r="G58" i="6"/>
  <c r="G60" i="6" s="1"/>
  <c r="K58" i="6"/>
  <c r="K60" i="6" s="1"/>
  <c r="B58" i="7"/>
  <c r="J58" i="7"/>
  <c r="J60" i="7" s="1"/>
  <c r="N38" i="8"/>
  <c r="D58" i="13"/>
  <c r="D60" i="13" s="1"/>
  <c r="D58" i="8"/>
  <c r="D60" i="8" s="1"/>
  <c r="H58" i="13"/>
  <c r="H60" i="13" s="1"/>
  <c r="H58" i="8"/>
  <c r="H60" i="8" s="1"/>
  <c r="L58" i="13"/>
  <c r="L60" i="13" s="1"/>
  <c r="L58" i="8"/>
  <c r="L60" i="8" s="1"/>
  <c r="N26" i="10"/>
  <c r="B18" i="13"/>
  <c r="N16" i="13"/>
  <c r="F18" i="13"/>
  <c r="J18" i="13"/>
  <c r="N56" i="1"/>
  <c r="E92" i="13"/>
  <c r="I92" i="13"/>
  <c r="M92" i="13"/>
  <c r="E24" i="13"/>
  <c r="I24" i="13"/>
  <c r="M24" i="13"/>
  <c r="C30" i="13"/>
  <c r="G30" i="13"/>
  <c r="K30" i="13"/>
  <c r="C36" i="13"/>
  <c r="G36" i="13"/>
  <c r="K36" i="13"/>
  <c r="C42" i="13"/>
  <c r="G42" i="13"/>
  <c r="K42" i="13"/>
  <c r="D58" i="5"/>
  <c r="D60" i="5" s="1"/>
  <c r="H58" i="5"/>
  <c r="H60" i="5" s="1"/>
  <c r="L58" i="5"/>
  <c r="L60" i="5" s="1"/>
  <c r="C48" i="13"/>
  <c r="G48" i="13"/>
  <c r="K48" i="13"/>
  <c r="D58" i="6"/>
  <c r="D60" i="6" s="1"/>
  <c r="H58" i="6"/>
  <c r="H60" i="6" s="1"/>
  <c r="L58" i="6"/>
  <c r="L60" i="6" s="1"/>
  <c r="E52" i="13"/>
  <c r="E54" i="13" s="1"/>
  <c r="E58" i="7"/>
  <c r="E60" i="7" s="1"/>
  <c r="I52" i="13"/>
  <c r="I54" i="13" s="1"/>
  <c r="I58" i="7"/>
  <c r="I60" i="7" s="1"/>
  <c r="M52" i="13"/>
  <c r="M54" i="13" s="1"/>
  <c r="M58" i="7"/>
  <c r="M60" i="7" s="1"/>
  <c r="C58" i="7"/>
  <c r="C60" i="7" s="1"/>
  <c r="K58" i="7"/>
  <c r="K60" i="7" s="1"/>
  <c r="N28" i="9"/>
  <c r="B64" i="13"/>
  <c r="B58" i="9"/>
  <c r="F64" i="13"/>
  <c r="F66" i="13" s="1"/>
  <c r="F58" i="9"/>
  <c r="F60" i="9" s="1"/>
  <c r="J64" i="13"/>
  <c r="J66" i="13" s="1"/>
  <c r="J58" i="9"/>
  <c r="J60" i="9" s="1"/>
  <c r="N56" i="9"/>
  <c r="N46" i="10"/>
  <c r="N38" i="12"/>
  <c r="C54" i="13"/>
  <c r="G54" i="13"/>
  <c r="K54" i="13"/>
  <c r="D58" i="7"/>
  <c r="D60" i="7" s="1"/>
  <c r="H58" i="7"/>
  <c r="H60" i="7" s="1"/>
  <c r="L58" i="7"/>
  <c r="L60" i="7" s="1"/>
  <c r="N16" i="8"/>
  <c r="N36" i="8"/>
  <c r="E60" i="13"/>
  <c r="I60" i="13"/>
  <c r="M60" i="13"/>
  <c r="B58" i="8"/>
  <c r="F58" i="8"/>
  <c r="F60" i="8" s="1"/>
  <c r="J58" i="8"/>
  <c r="J60" i="8" s="1"/>
  <c r="N26" i="9"/>
  <c r="N46" i="9"/>
  <c r="C66" i="13"/>
  <c r="G66" i="13"/>
  <c r="K66" i="13"/>
  <c r="D58" i="9"/>
  <c r="D60" i="9" s="1"/>
  <c r="H58" i="9"/>
  <c r="H60" i="9" s="1"/>
  <c r="L58" i="9"/>
  <c r="L60" i="9" s="1"/>
  <c r="N16" i="10"/>
  <c r="N36" i="10"/>
  <c r="E72" i="13"/>
  <c r="I72" i="13"/>
  <c r="M72" i="13"/>
  <c r="B58" i="10"/>
  <c r="F58" i="10"/>
  <c r="F60" i="10" s="1"/>
  <c r="J58" i="10"/>
  <c r="J60" i="10" s="1"/>
  <c r="N18" i="12"/>
  <c r="D54" i="13"/>
  <c r="H54" i="13"/>
  <c r="L54" i="13"/>
  <c r="N53" i="13"/>
  <c r="N57" i="7"/>
  <c r="B60" i="13"/>
  <c r="N60" i="13" s="1"/>
  <c r="F60" i="13"/>
  <c r="J60" i="13"/>
  <c r="N56" i="8"/>
  <c r="C58" i="8"/>
  <c r="C60" i="8" s="1"/>
  <c r="G58" i="8"/>
  <c r="G60" i="8" s="1"/>
  <c r="K58" i="8"/>
  <c r="K60" i="8" s="1"/>
  <c r="D66" i="13"/>
  <c r="H66" i="13"/>
  <c r="L66" i="13"/>
  <c r="N65" i="13"/>
  <c r="N57" i="9"/>
  <c r="E58" i="9"/>
  <c r="E60" i="9" s="1"/>
  <c r="I58" i="9"/>
  <c r="I60" i="9" s="1"/>
  <c r="M58" i="9"/>
  <c r="M60" i="9" s="1"/>
  <c r="B72" i="13"/>
  <c r="N72" i="13" s="1"/>
  <c r="F72" i="13"/>
  <c r="J72" i="13"/>
  <c r="N56" i="10"/>
  <c r="C58" i="10"/>
  <c r="C60" i="10" s="1"/>
  <c r="G58" i="10"/>
  <c r="G60" i="10" s="1"/>
  <c r="K58" i="10"/>
  <c r="K60" i="10" s="1"/>
  <c r="B28" i="11"/>
  <c r="N28" i="11" s="1"/>
  <c r="N26" i="11"/>
  <c r="N16" i="11"/>
  <c r="B18" i="11"/>
  <c r="N18" i="11" s="1"/>
  <c r="N48" i="12"/>
  <c r="B38" i="11"/>
  <c r="N38" i="11" s="1"/>
  <c r="N76" i="13"/>
  <c r="B78" i="13"/>
  <c r="N56" i="11"/>
  <c r="C58" i="11"/>
  <c r="C60" i="11" s="1"/>
  <c r="G58" i="11"/>
  <c r="G60" i="11" s="1"/>
  <c r="K58" i="11"/>
  <c r="K60" i="11" s="1"/>
  <c r="L56" i="12"/>
  <c r="N83" i="13"/>
  <c r="N57" i="12"/>
  <c r="E58" i="12"/>
  <c r="E60" i="12" s="1"/>
  <c r="I58" i="12"/>
  <c r="I60" i="12" s="1"/>
  <c r="M58" i="12"/>
  <c r="M60" i="12" s="1"/>
  <c r="N46" i="11"/>
  <c r="G78" i="13"/>
  <c r="D58" i="11"/>
  <c r="D60" i="11" s="1"/>
  <c r="H58" i="11"/>
  <c r="H60" i="11" s="1"/>
  <c r="L58" i="11"/>
  <c r="L60" i="11" s="1"/>
  <c r="N16" i="12"/>
  <c r="N36" i="12"/>
  <c r="B58" i="12"/>
  <c r="F58" i="12"/>
  <c r="F60" i="12" s="1"/>
  <c r="J58" i="12"/>
  <c r="J60" i="12" s="1"/>
  <c r="L78" i="13"/>
  <c r="N77" i="13"/>
  <c r="N57" i="11"/>
  <c r="E58" i="11"/>
  <c r="E60" i="11" s="1"/>
  <c r="I58" i="11"/>
  <c r="I60" i="11" s="1"/>
  <c r="M58" i="11"/>
  <c r="M60" i="11" s="1"/>
  <c r="B84" i="13"/>
  <c r="N56" i="12"/>
  <c r="C58" i="12"/>
  <c r="C60" i="12" s="1"/>
  <c r="G58" i="12"/>
  <c r="G60" i="12" s="1"/>
  <c r="K58" i="12"/>
  <c r="K60" i="12" s="1"/>
  <c r="B58" i="11"/>
  <c r="F58" i="11"/>
  <c r="F60" i="11" s="1"/>
  <c r="J58" i="11"/>
  <c r="J60" i="11" s="1"/>
  <c r="C84" i="13"/>
  <c r="K84" i="13"/>
  <c r="D58" i="12"/>
  <c r="D60" i="12" s="1"/>
  <c r="H58" i="12"/>
  <c r="H60" i="12" s="1"/>
  <c r="L82" i="13" l="1"/>
  <c r="L58" i="12"/>
  <c r="L60" i="12" s="1"/>
  <c r="N58" i="2"/>
  <c r="B60" i="2"/>
  <c r="N60" i="2" s="1"/>
  <c r="N29" i="13"/>
  <c r="N58" i="11"/>
  <c r="B60" i="11"/>
  <c r="N60" i="11" s="1"/>
  <c r="N58" i="9"/>
  <c r="B60" i="9"/>
  <c r="N60" i="9" s="1"/>
  <c r="B60" i="7"/>
  <c r="N60" i="7" s="1"/>
  <c r="N58" i="7"/>
  <c r="N48" i="13"/>
  <c r="N30" i="13"/>
  <c r="D91" i="13"/>
  <c r="D93" i="13" s="1"/>
  <c r="D95" i="13" s="1"/>
  <c r="D18" i="13"/>
  <c r="N78" i="13"/>
  <c r="B60" i="10"/>
  <c r="N60" i="10" s="1"/>
  <c r="N58" i="10"/>
  <c r="B60" i="8"/>
  <c r="N60" i="8" s="1"/>
  <c r="N58" i="8"/>
  <c r="N64" i="13"/>
  <c r="B66" i="13"/>
  <c r="N66" i="13" s="1"/>
  <c r="M93" i="13"/>
  <c r="M95" i="13" s="1"/>
  <c r="B60" i="4"/>
  <c r="N60" i="4" s="1"/>
  <c r="N58" i="4"/>
  <c r="K91" i="13"/>
  <c r="K93" i="13" s="1"/>
  <c r="K95" i="13" s="1"/>
  <c r="K18" i="13"/>
  <c r="H92" i="13"/>
  <c r="N54" i="13"/>
  <c r="H91" i="13"/>
  <c r="H18" i="13"/>
  <c r="N42" i="13"/>
  <c r="B60" i="6"/>
  <c r="N60" i="6" s="1"/>
  <c r="N58" i="6"/>
  <c r="L91" i="13"/>
  <c r="L93" i="13" s="1"/>
  <c r="L95" i="13" s="1"/>
  <c r="L18" i="13"/>
  <c r="J91" i="13"/>
  <c r="J93" i="13" s="1"/>
  <c r="J95" i="13" s="1"/>
  <c r="B60" i="5"/>
  <c r="N60" i="5" s="1"/>
  <c r="N58" i="5"/>
  <c r="C91" i="13"/>
  <c r="C93" i="13" s="1"/>
  <c r="C95" i="13" s="1"/>
  <c r="C18" i="13"/>
  <c r="B24" i="13"/>
  <c r="N24" i="13" s="1"/>
  <c r="N22" i="13"/>
  <c r="B60" i="12"/>
  <c r="N60" i="12" s="1"/>
  <c r="N58" i="12"/>
  <c r="N70" i="13"/>
  <c r="N58" i="13"/>
  <c r="F91" i="13"/>
  <c r="F93" i="13" s="1"/>
  <c r="F95" i="13" s="1"/>
  <c r="N36" i="13"/>
  <c r="N28" i="13"/>
  <c r="I91" i="13"/>
  <c r="I93" i="13" s="1"/>
  <c r="I95" i="13" s="1"/>
  <c r="N52" i="13"/>
  <c r="B60" i="1"/>
  <c r="N60" i="1" s="1"/>
  <c r="N58" i="1"/>
  <c r="G91" i="13"/>
  <c r="G93" i="13" s="1"/>
  <c r="G95" i="13" s="1"/>
  <c r="G18" i="13"/>
  <c r="B60" i="3"/>
  <c r="N60" i="3" s="1"/>
  <c r="N58" i="3"/>
  <c r="B92" i="13"/>
  <c r="N92" i="13" s="1"/>
  <c r="N18" i="13" l="1"/>
  <c r="L84" i="13"/>
  <c r="N84" i="13" s="1"/>
  <c r="N82" i="13"/>
  <c r="H93" i="13"/>
  <c r="H95" i="13" s="1"/>
  <c r="B93" i="13"/>
  <c r="N91" i="13"/>
  <c r="B95" i="13" l="1"/>
  <c r="N95" i="13" s="1"/>
  <c r="N93" i="13"/>
</calcChain>
</file>

<file path=xl/sharedStrings.xml><?xml version="1.0" encoding="utf-8"?>
<sst xmlns="http://schemas.openxmlformats.org/spreadsheetml/2006/main" count="1203" uniqueCount="116">
  <si>
    <t>07:00 AM - 08:00 AM</t>
  </si>
  <si>
    <t>PROJECT: PROPOSED FUEL SERVICE STATION</t>
  </si>
  <si>
    <t>TRAFFIC VOLUME COUNTS DATA (RAW DATA)</t>
  </si>
  <si>
    <t>15 MINUTES VOLUMES</t>
  </si>
  <si>
    <t>TIME</t>
  </si>
  <si>
    <t>Motorcycle/Tuktuk</t>
  </si>
  <si>
    <t>Cars(&lt;=5seats)</t>
  </si>
  <si>
    <t>Large Cars,4WD,SUVs</t>
  </si>
  <si>
    <t>Pickups/Vans</t>
  </si>
  <si>
    <t>Minibus/Matatus(&lt;=14seat</t>
  </si>
  <si>
    <t>Small bus(14-33seat)</t>
  </si>
  <si>
    <t>Large bus(&gt;33seat)</t>
  </si>
  <si>
    <t>Light Trucks(2axles)</t>
  </si>
  <si>
    <t>Medium Trucks(2axle,Double rear wheel)</t>
  </si>
  <si>
    <t>Heavy Trucks(3, 4 axles)</t>
  </si>
  <si>
    <t>Artics/draw-bar trucks</t>
  </si>
  <si>
    <t>Others (e.g tractors)</t>
  </si>
  <si>
    <t>TOTALS</t>
  </si>
  <si>
    <t>7:00-7:15</t>
  </si>
  <si>
    <t>VEHICLES</t>
  </si>
  <si>
    <t>Conversion Factor</t>
  </si>
  <si>
    <t>PCUs, Passenger Car Units</t>
  </si>
  <si>
    <t>7:15-7:30</t>
  </si>
  <si>
    <t>7:30-7:45</t>
  </si>
  <si>
    <t>7:45-8:00</t>
  </si>
  <si>
    <t>HOURLY (1HR) SUMMARY</t>
  </si>
  <si>
    <t>07 AM to 08 AM</t>
  </si>
  <si>
    <t>08:00 AM - 09:00 AM</t>
  </si>
  <si>
    <t>8:00-8:15</t>
  </si>
  <si>
    <t>8:15-8:30</t>
  </si>
  <si>
    <t>8:30-8:45</t>
  </si>
  <si>
    <t>8:45-9:00</t>
  </si>
  <si>
    <t>08 AM to 09 AM</t>
  </si>
  <si>
    <t>09:00AM-10:00AM</t>
  </si>
  <si>
    <t>09:00-09:15</t>
  </si>
  <si>
    <t>9:15-9:30</t>
  </si>
  <si>
    <t>9:30-9:45</t>
  </si>
  <si>
    <t>9:45-10:00</t>
  </si>
  <si>
    <t>09 AM to 10 AM</t>
  </si>
  <si>
    <t>10:00AM-11:00AM</t>
  </si>
  <si>
    <t>10:00-10:15</t>
  </si>
  <si>
    <t>10:15-10:30</t>
  </si>
  <si>
    <t>10:30-10:45</t>
  </si>
  <si>
    <t>10:45-11:00</t>
  </si>
  <si>
    <t>10 AM to 11 AM</t>
  </si>
  <si>
    <t>11:00 AM-12:00 NOON</t>
  </si>
  <si>
    <t>11:00-11:15</t>
  </si>
  <si>
    <t>11:15-11:30</t>
  </si>
  <si>
    <t>11:30-11:45</t>
  </si>
  <si>
    <t>11:45-12:00</t>
  </si>
  <si>
    <t>11 AM to 12 PM</t>
  </si>
  <si>
    <t>12:00 AM-1:00 PM</t>
  </si>
  <si>
    <t>12:00-12:15</t>
  </si>
  <si>
    <t>12:15-12:30</t>
  </si>
  <si>
    <t>12:30-12:45</t>
  </si>
  <si>
    <t>12:45-1:00</t>
  </si>
  <si>
    <t>12PM to 01 PM</t>
  </si>
  <si>
    <t>01:00PM - 02:00PM</t>
  </si>
  <si>
    <t>1:00-1:15</t>
  </si>
  <si>
    <t>1:15-1:30</t>
  </si>
  <si>
    <t>1:30-1:45</t>
  </si>
  <si>
    <t>1:45-2:00</t>
  </si>
  <si>
    <t>01 PM to 02 PM</t>
  </si>
  <si>
    <t>02:00PM - 03:00PM</t>
  </si>
  <si>
    <t>2:00-2:15</t>
  </si>
  <si>
    <t>2:15-2:30</t>
  </si>
  <si>
    <t>2:30-2:45</t>
  </si>
  <si>
    <t>2:45-3:00</t>
  </si>
  <si>
    <t>02 PM to 03 PM</t>
  </si>
  <si>
    <t>03:00 PM -04:00 PM</t>
  </si>
  <si>
    <t xml:space="preserve">3:00-3:15 </t>
  </si>
  <si>
    <t>3:15-3:30</t>
  </si>
  <si>
    <t>3:30-3:45</t>
  </si>
  <si>
    <t>3:45-4:00</t>
  </si>
  <si>
    <t>03 PM to 04 PM</t>
  </si>
  <si>
    <t>04:00 PM - 05:00AM</t>
  </si>
  <si>
    <t>4:00-4:15</t>
  </si>
  <si>
    <t>4:15-4:30</t>
  </si>
  <si>
    <t>4:30-4:45</t>
  </si>
  <si>
    <t>4:45-5:00</t>
  </si>
  <si>
    <t>O+A45:N54thers (e.g tractors)</t>
  </si>
  <si>
    <t>04 PM to 05 PM</t>
  </si>
  <si>
    <t>05:00 PM - 06:00 PM</t>
  </si>
  <si>
    <t>5:00-5:15</t>
  </si>
  <si>
    <t>5:15-5:30</t>
  </si>
  <si>
    <t>5:30-5:45</t>
  </si>
  <si>
    <t>5:45-6:00</t>
  </si>
  <si>
    <t>05 PM to 06 PM</t>
  </si>
  <si>
    <t>07:00AM - 08:00AM</t>
  </si>
  <si>
    <t>6:00-6:15</t>
  </si>
  <si>
    <t>6:15-6:30</t>
  </si>
  <si>
    <t>6:30-6:45</t>
  </si>
  <si>
    <t>6:45-7:00</t>
  </si>
  <si>
    <t>06 PM to 07 PM</t>
  </si>
  <si>
    <t>DAILY TOTALS (12 hour Traffic Volume Counts)</t>
  </si>
  <si>
    <t>HOURS VOLUMES VS DAILY VOLUMES</t>
  </si>
  <si>
    <t>HOURLY PER DAY</t>
  </si>
  <si>
    <t>7:00AM-8:00AM</t>
  </si>
  <si>
    <t>TOTAL</t>
  </si>
  <si>
    <t>8:00AM-9:00AM</t>
  </si>
  <si>
    <t>9:00AM-10:00AM</t>
  </si>
  <si>
    <t>11:00AM-12:00AM</t>
  </si>
  <si>
    <t>12:00NOON-1:00PM</t>
  </si>
  <si>
    <t>1:00PM-2:00PM</t>
  </si>
  <si>
    <t>2:00PM-3:00PM</t>
  </si>
  <si>
    <t>3:00PM-4:00PM</t>
  </si>
  <si>
    <t>4:00PM-5:00PM</t>
  </si>
  <si>
    <t>5:00PM-6:00PM</t>
  </si>
  <si>
    <t>6:00PM-7:00PM</t>
  </si>
  <si>
    <t>TOTALS FOR THE DAY</t>
  </si>
  <si>
    <t>DAILY TOTALS</t>
  </si>
  <si>
    <t>SITE: JN A8 MAILI TISA-KITALE (B14) ROAD</t>
  </si>
  <si>
    <t>C/O: GIDEON KAGO KARIUKI</t>
  </si>
  <si>
    <t>Maili Tisa Bound</t>
  </si>
  <si>
    <t>Kitale Bound</t>
  </si>
  <si>
    <t>ROAD: JN A8 MAILI TISA-KITALE (B14)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</si>
</sst>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2" borderId="2" xfId="0" applyFill="1" applyBorder="1"/>
    <xf numFmtId="0" fontId="1" fillId="0" borderId="1" xfId="0" applyFont="1" applyBorder="1" applyAlignment="1">
      <alignment horizontal="left" vertical="center" wrapText="1"/>
    </xf>
    <xf numFmtId="0" fontId="0" fillId="8" borderId="2" xfId="0" applyFill="1" applyBorder="1"/>
    <xf numFmtId="0" fontId="1" fillId="6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0" fillId="7" borderId="2" xfId="0" applyFill="1" applyBorder="1" applyAlignment="1">
      <alignment horizontal="right" wrapText="1"/>
    </xf>
    <xf numFmtId="0" fontId="1" fillId="7" borderId="2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0" fillId="5" borderId="2" xfId="0" applyFill="1" applyBorder="1"/>
    <xf numFmtId="0" fontId="1" fillId="0" borderId="1" xfId="0" applyFont="1" applyBorder="1" applyAlignment="1">
      <alignment horizontal="right" wrapText="1"/>
    </xf>
    <xf numFmtId="0" fontId="0" fillId="5" borderId="1" xfId="0" applyFill="1" applyBorder="1"/>
    <xf numFmtId="0" fontId="0" fillId="2" borderId="6" xfId="0" applyFill="1" applyBorder="1"/>
    <xf numFmtId="0" fontId="1" fillId="0" borderId="0" xfId="0" applyFont="1" applyAlignment="1">
      <alignment horizontal="right" wrapText="1"/>
    </xf>
    <xf numFmtId="0" fontId="1" fillId="4" borderId="3" xfId="0" applyFont="1" applyFill="1" applyBorder="1" applyAlignment="1">
      <alignment horizontal="right"/>
    </xf>
    <xf numFmtId="0" fontId="0" fillId="4" borderId="3" xfId="0" applyFill="1" applyBorder="1"/>
    <xf numFmtId="0" fontId="0" fillId="0" borderId="2" xfId="0" quotePrefix="1" applyBorder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view="pageBreakPreview" topLeftCell="A33" zoomScaleNormal="100" zoomScaleSheetLayoutView="100" workbookViewId="0">
      <selection activeCell="A14" sqref="A14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">
        <v>115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">
        <v>111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s="32" customFormat="1" x14ac:dyDescent="0.25">
      <c r="A7" s="32" t="s">
        <v>112</v>
      </c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7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18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ht="30" x14ac:dyDescent="0.25">
      <c r="A14" s="4" t="s">
        <v>113</v>
      </c>
      <c r="B14" s="3">
        <v>7</v>
      </c>
      <c r="C14" s="3">
        <v>10</v>
      </c>
      <c r="D14" s="3">
        <v>10</v>
      </c>
      <c r="E14" s="3">
        <v>10</v>
      </c>
      <c r="F14" s="3">
        <v>6</v>
      </c>
      <c r="G14" s="3">
        <v>0</v>
      </c>
      <c r="H14" s="3">
        <v>1</v>
      </c>
      <c r="I14" s="3">
        <v>1</v>
      </c>
      <c r="J14" s="3">
        <v>1</v>
      </c>
      <c r="K14" s="3">
        <v>1</v>
      </c>
      <c r="L14" s="3">
        <v>0</v>
      </c>
      <c r="M14" s="3">
        <v>0</v>
      </c>
      <c r="N14" s="20">
        <f>SUM(B14:M14)</f>
        <v>47</v>
      </c>
    </row>
    <row r="15" spans="1:14" x14ac:dyDescent="0.25">
      <c r="A15" s="4" t="s">
        <v>114</v>
      </c>
      <c r="B15" s="3">
        <v>13</v>
      </c>
      <c r="C15" s="3">
        <v>16</v>
      </c>
      <c r="D15" s="3">
        <v>7</v>
      </c>
      <c r="E15" s="3">
        <v>1</v>
      </c>
      <c r="F15" s="3">
        <v>4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42</v>
      </c>
    </row>
    <row r="16" spans="1:14" ht="27" customHeight="1" x14ac:dyDescent="0.25">
      <c r="A16" s="10" t="s">
        <v>19</v>
      </c>
      <c r="B16" s="11">
        <f t="shared" ref="B16:M16" si="0">SUM(B14:B15)</f>
        <v>20</v>
      </c>
      <c r="C16" s="11">
        <f t="shared" si="0"/>
        <v>26</v>
      </c>
      <c r="D16" s="11">
        <f t="shared" si="0"/>
        <v>17</v>
      </c>
      <c r="E16" s="11">
        <f t="shared" si="0"/>
        <v>11</v>
      </c>
      <c r="F16" s="11">
        <f t="shared" si="0"/>
        <v>10</v>
      </c>
      <c r="G16" s="11">
        <f t="shared" si="0"/>
        <v>0</v>
      </c>
      <c r="H16" s="11">
        <f t="shared" si="0"/>
        <v>1</v>
      </c>
      <c r="I16" s="11">
        <f t="shared" si="0"/>
        <v>1</v>
      </c>
      <c r="J16" s="11">
        <f t="shared" si="0"/>
        <v>2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89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26</v>
      </c>
      <c r="D18" s="18">
        <f t="shared" si="1"/>
        <v>17</v>
      </c>
      <c r="E18" s="18">
        <f t="shared" si="1"/>
        <v>11</v>
      </c>
      <c r="F18" s="18">
        <f t="shared" si="1"/>
        <v>10</v>
      </c>
      <c r="G18" s="18">
        <f t="shared" si="1"/>
        <v>0</v>
      </c>
      <c r="H18" s="18">
        <f t="shared" si="1"/>
        <v>2</v>
      </c>
      <c r="I18" s="18">
        <f t="shared" si="1"/>
        <v>1</v>
      </c>
      <c r="J18" s="18">
        <f t="shared" si="1"/>
        <v>2</v>
      </c>
      <c r="K18" s="18">
        <f t="shared" si="1"/>
        <v>2</v>
      </c>
      <c r="L18" s="18">
        <f t="shared" si="1"/>
        <v>0</v>
      </c>
      <c r="M18" s="18">
        <f t="shared" si="1"/>
        <v>0</v>
      </c>
      <c r="N18" s="19">
        <f>SUM(B18:M18)</f>
        <v>71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22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x14ac:dyDescent="0.25">
      <c r="A24" s="4" t="s">
        <v>113</v>
      </c>
      <c r="B24" s="3">
        <v>15</v>
      </c>
      <c r="C24" s="3">
        <v>8</v>
      </c>
      <c r="D24" s="3">
        <v>9</v>
      </c>
      <c r="E24" s="3">
        <v>11</v>
      </c>
      <c r="F24" s="3">
        <v>7</v>
      </c>
      <c r="G24" s="3">
        <v>0</v>
      </c>
      <c r="H24" s="3">
        <v>1</v>
      </c>
      <c r="I24" s="3">
        <v>3</v>
      </c>
      <c r="J24" s="3">
        <v>1</v>
      </c>
      <c r="K24" s="3">
        <v>0</v>
      </c>
      <c r="L24" s="3">
        <v>0</v>
      </c>
      <c r="M24" s="3">
        <v>0</v>
      </c>
      <c r="N24" s="20">
        <f>SUM(B24:M24)</f>
        <v>55</v>
      </c>
    </row>
    <row r="25" spans="1:14" x14ac:dyDescent="0.25">
      <c r="A25" s="4" t="s">
        <v>114</v>
      </c>
      <c r="B25" s="3">
        <v>13</v>
      </c>
      <c r="C25" s="3">
        <v>12</v>
      </c>
      <c r="D25" s="3">
        <v>18</v>
      </c>
      <c r="E25" s="3">
        <v>4</v>
      </c>
      <c r="F25" s="3">
        <v>6</v>
      </c>
      <c r="G25" s="3">
        <v>0</v>
      </c>
      <c r="H25" s="3">
        <v>0</v>
      </c>
      <c r="I25" s="3">
        <v>2</v>
      </c>
      <c r="J25" s="3">
        <v>1</v>
      </c>
      <c r="K25" s="3">
        <v>1</v>
      </c>
      <c r="L25" s="3">
        <v>0</v>
      </c>
      <c r="M25" s="3">
        <v>0</v>
      </c>
      <c r="N25" s="20">
        <f>SUM(B25:M25)</f>
        <v>57</v>
      </c>
    </row>
    <row r="26" spans="1:14" ht="27" customHeight="1" x14ac:dyDescent="0.25">
      <c r="A26" s="10" t="s">
        <v>19</v>
      </c>
      <c r="B26" s="11">
        <f t="shared" ref="B26:M26" si="2">SUM(B24:B25)</f>
        <v>28</v>
      </c>
      <c r="C26" s="11">
        <f t="shared" si="2"/>
        <v>20</v>
      </c>
      <c r="D26" s="11">
        <f t="shared" si="2"/>
        <v>27</v>
      </c>
      <c r="E26" s="11">
        <f t="shared" si="2"/>
        <v>15</v>
      </c>
      <c r="F26" s="11">
        <f t="shared" si="2"/>
        <v>13</v>
      </c>
      <c r="G26" s="11">
        <f t="shared" si="2"/>
        <v>0</v>
      </c>
      <c r="H26" s="11">
        <f t="shared" si="2"/>
        <v>1</v>
      </c>
      <c r="I26" s="11">
        <f t="shared" si="2"/>
        <v>5</v>
      </c>
      <c r="J26" s="11">
        <f t="shared" si="2"/>
        <v>2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112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20</v>
      </c>
      <c r="D28" s="18">
        <f t="shared" si="3"/>
        <v>27</v>
      </c>
      <c r="E28" s="18">
        <f t="shared" si="3"/>
        <v>15</v>
      </c>
      <c r="F28" s="18">
        <f t="shared" si="3"/>
        <v>13</v>
      </c>
      <c r="G28" s="18">
        <f t="shared" si="3"/>
        <v>0</v>
      </c>
      <c r="H28" s="18">
        <f t="shared" si="3"/>
        <v>2</v>
      </c>
      <c r="I28" s="18">
        <f t="shared" si="3"/>
        <v>5</v>
      </c>
      <c r="J28" s="18">
        <f t="shared" si="3"/>
        <v>2</v>
      </c>
      <c r="K28" s="18">
        <f t="shared" si="3"/>
        <v>2</v>
      </c>
      <c r="L28" s="18">
        <f t="shared" si="3"/>
        <v>0</v>
      </c>
      <c r="M28" s="18">
        <f t="shared" si="3"/>
        <v>0</v>
      </c>
      <c r="N28" s="19">
        <f>SUM(B28:M28)</f>
        <v>86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ht="15" customHeight="1" x14ac:dyDescent="0.25">
      <c r="A33" s="33" t="s">
        <v>23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4.75" customHeight="1" x14ac:dyDescent="0.25">
      <c r="A34" s="4" t="s">
        <v>113</v>
      </c>
      <c r="B34" s="3">
        <v>14</v>
      </c>
      <c r="C34" s="3">
        <v>22</v>
      </c>
      <c r="D34" s="3">
        <v>15</v>
      </c>
      <c r="E34" s="3">
        <v>3</v>
      </c>
      <c r="F34" s="3">
        <v>4</v>
      </c>
      <c r="G34" s="3">
        <v>0</v>
      </c>
      <c r="H34" s="3">
        <v>1</v>
      </c>
      <c r="I34" s="3">
        <v>0</v>
      </c>
      <c r="J34" s="3">
        <v>3</v>
      </c>
      <c r="K34" s="3">
        <v>0</v>
      </c>
      <c r="L34" s="3">
        <v>0</v>
      </c>
      <c r="M34" s="3">
        <v>0</v>
      </c>
      <c r="N34" s="20">
        <f>SUM(B34:M34)</f>
        <v>62</v>
      </c>
    </row>
    <row r="35" spans="1:14" x14ac:dyDescent="0.25">
      <c r="A35" s="4" t="s">
        <v>114</v>
      </c>
      <c r="B35" s="3">
        <v>11</v>
      </c>
      <c r="C35" s="3">
        <v>22</v>
      </c>
      <c r="D35" s="3">
        <v>4</v>
      </c>
      <c r="E35" s="3">
        <v>7</v>
      </c>
      <c r="F35" s="3">
        <v>6</v>
      </c>
      <c r="G35" s="3">
        <v>0</v>
      </c>
      <c r="H35" s="3">
        <v>6</v>
      </c>
      <c r="I35" s="3">
        <v>2</v>
      </c>
      <c r="J35" s="3">
        <v>1</v>
      </c>
      <c r="K35" s="3">
        <v>1</v>
      </c>
      <c r="L35" s="3">
        <v>0</v>
      </c>
      <c r="M35" s="3">
        <v>0</v>
      </c>
      <c r="N35" s="20">
        <f>SUM(B35:M35)</f>
        <v>60</v>
      </c>
    </row>
    <row r="36" spans="1:14" ht="45" customHeight="1" x14ac:dyDescent="0.25">
      <c r="A36" s="10" t="s">
        <v>19</v>
      </c>
      <c r="B36" s="11">
        <f t="shared" ref="B36:M36" si="4">SUM(B34:B35)</f>
        <v>25</v>
      </c>
      <c r="C36" s="11">
        <f t="shared" si="4"/>
        <v>44</v>
      </c>
      <c r="D36" s="11">
        <f t="shared" si="4"/>
        <v>19</v>
      </c>
      <c r="E36" s="11">
        <f t="shared" si="4"/>
        <v>10</v>
      </c>
      <c r="F36" s="11">
        <f t="shared" si="4"/>
        <v>10</v>
      </c>
      <c r="G36" s="11">
        <f t="shared" si="4"/>
        <v>0</v>
      </c>
      <c r="H36" s="11">
        <f t="shared" si="4"/>
        <v>7</v>
      </c>
      <c r="I36" s="11">
        <f t="shared" si="4"/>
        <v>2</v>
      </c>
      <c r="J36" s="11">
        <f t="shared" si="4"/>
        <v>4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122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44</v>
      </c>
      <c r="D38" s="18">
        <f t="shared" si="5"/>
        <v>19</v>
      </c>
      <c r="E38" s="18">
        <f t="shared" si="5"/>
        <v>10</v>
      </c>
      <c r="F38" s="18">
        <f t="shared" si="5"/>
        <v>10</v>
      </c>
      <c r="G38" s="18">
        <f t="shared" si="5"/>
        <v>0</v>
      </c>
      <c r="H38" s="18">
        <f t="shared" si="5"/>
        <v>14</v>
      </c>
      <c r="I38" s="18">
        <f t="shared" si="5"/>
        <v>2</v>
      </c>
      <c r="J38" s="18">
        <f t="shared" si="5"/>
        <v>4</v>
      </c>
      <c r="K38" s="18">
        <f t="shared" si="5"/>
        <v>2</v>
      </c>
      <c r="L38" s="18">
        <f t="shared" si="5"/>
        <v>0</v>
      </c>
      <c r="M38" s="18">
        <f t="shared" si="5"/>
        <v>0</v>
      </c>
      <c r="N38" s="19">
        <f>SUM(B38:M38)</f>
        <v>105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24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x14ac:dyDescent="0.25">
      <c r="A44" s="4" t="s">
        <v>113</v>
      </c>
      <c r="B44" s="3">
        <v>15</v>
      </c>
      <c r="C44" s="3">
        <v>15</v>
      </c>
      <c r="D44" s="3">
        <v>10</v>
      </c>
      <c r="E44" s="3">
        <v>4</v>
      </c>
      <c r="F44" s="3">
        <v>4</v>
      </c>
      <c r="G44" s="3">
        <v>1</v>
      </c>
      <c r="H44" s="3">
        <v>0</v>
      </c>
      <c r="I44" s="3">
        <v>0</v>
      </c>
      <c r="J44" s="3">
        <v>0</v>
      </c>
      <c r="K44" s="3">
        <v>2</v>
      </c>
      <c r="L44" s="3">
        <v>1</v>
      </c>
      <c r="M44" s="3">
        <v>0</v>
      </c>
      <c r="N44" s="20">
        <f>SUM(B44:M44)</f>
        <v>52</v>
      </c>
    </row>
    <row r="45" spans="1:14" ht="32.25" customHeight="1" x14ac:dyDescent="0.25">
      <c r="A45" s="4" t="s">
        <v>114</v>
      </c>
      <c r="B45" s="3">
        <v>9</v>
      </c>
      <c r="C45" s="3">
        <v>24</v>
      </c>
      <c r="D45" s="3">
        <v>3</v>
      </c>
      <c r="E45" s="3">
        <v>6</v>
      </c>
      <c r="F45" s="3">
        <v>9</v>
      </c>
      <c r="G45" s="3">
        <v>0</v>
      </c>
      <c r="H45" s="3">
        <v>0</v>
      </c>
      <c r="I45" s="3">
        <v>0</v>
      </c>
      <c r="J45" s="3">
        <v>1</v>
      </c>
      <c r="K45" s="3">
        <v>1</v>
      </c>
      <c r="L45" s="3">
        <v>0</v>
      </c>
      <c r="M45" s="3">
        <v>0</v>
      </c>
      <c r="N45" s="20">
        <f>SUM(B45:M45)</f>
        <v>53</v>
      </c>
    </row>
    <row r="46" spans="1:14" ht="27.75" customHeight="1" x14ac:dyDescent="0.25">
      <c r="A46" s="10" t="s">
        <v>19</v>
      </c>
      <c r="B46" s="11">
        <f t="shared" ref="B46:M46" si="6">SUM(B44:B45)</f>
        <v>24</v>
      </c>
      <c r="C46" s="11">
        <f t="shared" si="6"/>
        <v>39</v>
      </c>
      <c r="D46" s="11">
        <f t="shared" si="6"/>
        <v>13</v>
      </c>
      <c r="E46" s="11">
        <f t="shared" si="6"/>
        <v>10</v>
      </c>
      <c r="F46" s="11">
        <f t="shared" si="6"/>
        <v>13</v>
      </c>
      <c r="G46" s="11">
        <f t="shared" si="6"/>
        <v>1</v>
      </c>
      <c r="H46" s="11">
        <f t="shared" si="6"/>
        <v>0</v>
      </c>
      <c r="I46" s="11">
        <f t="shared" si="6"/>
        <v>0</v>
      </c>
      <c r="J46" s="11">
        <f t="shared" si="6"/>
        <v>1</v>
      </c>
      <c r="K46" s="11">
        <f t="shared" si="6"/>
        <v>3</v>
      </c>
      <c r="L46" s="11">
        <f t="shared" si="6"/>
        <v>1</v>
      </c>
      <c r="M46" s="11">
        <f t="shared" si="6"/>
        <v>0</v>
      </c>
      <c r="N46" s="11">
        <f>SUM(B46:M46)</f>
        <v>105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39</v>
      </c>
      <c r="D48" s="18">
        <f t="shared" si="7"/>
        <v>13</v>
      </c>
      <c r="E48" s="18">
        <f t="shared" si="7"/>
        <v>10</v>
      </c>
      <c r="F48" s="18">
        <f t="shared" si="7"/>
        <v>13</v>
      </c>
      <c r="G48" s="18">
        <f t="shared" si="7"/>
        <v>1</v>
      </c>
      <c r="H48" s="18">
        <f t="shared" si="7"/>
        <v>0</v>
      </c>
      <c r="I48" s="18">
        <f t="shared" si="7"/>
        <v>0</v>
      </c>
      <c r="J48" s="18">
        <f t="shared" si="7"/>
        <v>1</v>
      </c>
      <c r="K48" s="18">
        <f t="shared" si="7"/>
        <v>6</v>
      </c>
      <c r="L48" s="18">
        <f t="shared" si="7"/>
        <v>2</v>
      </c>
      <c r="M48" s="18">
        <f t="shared" si="7"/>
        <v>0</v>
      </c>
      <c r="N48" s="19">
        <f>SUM(B48:M48)</f>
        <v>85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26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">
        <v>113</v>
      </c>
      <c r="B56" s="3">
        <f t="shared" ref="B56:M56" si="8">(B14+B24+B34+B44)</f>
        <v>51</v>
      </c>
      <c r="C56" s="3">
        <f t="shared" si="8"/>
        <v>55</v>
      </c>
      <c r="D56" s="3">
        <f t="shared" si="8"/>
        <v>44</v>
      </c>
      <c r="E56" s="3">
        <f t="shared" si="8"/>
        <v>28</v>
      </c>
      <c r="F56" s="3">
        <f t="shared" si="8"/>
        <v>21</v>
      </c>
      <c r="G56" s="3">
        <f t="shared" si="8"/>
        <v>1</v>
      </c>
      <c r="H56" s="3">
        <f t="shared" si="8"/>
        <v>3</v>
      </c>
      <c r="I56" s="3">
        <f t="shared" si="8"/>
        <v>4</v>
      </c>
      <c r="J56" s="3">
        <f t="shared" si="8"/>
        <v>5</v>
      </c>
      <c r="K56" s="3">
        <f t="shared" si="8"/>
        <v>3</v>
      </c>
      <c r="L56" s="3">
        <f t="shared" si="8"/>
        <v>1</v>
      </c>
      <c r="M56" s="3">
        <f t="shared" si="8"/>
        <v>0</v>
      </c>
      <c r="N56" s="20">
        <f>SUM(B56:M56)</f>
        <v>216</v>
      </c>
    </row>
    <row r="57" spans="1:14" x14ac:dyDescent="0.25">
      <c r="A57" s="4" t="s">
        <v>114</v>
      </c>
      <c r="B57" s="3">
        <f t="shared" ref="B57:M57" si="9">(B15+B25+B35+B45)</f>
        <v>46</v>
      </c>
      <c r="C57" s="3">
        <f t="shared" si="9"/>
        <v>74</v>
      </c>
      <c r="D57" s="3">
        <f t="shared" si="9"/>
        <v>32</v>
      </c>
      <c r="E57" s="3">
        <f t="shared" si="9"/>
        <v>18</v>
      </c>
      <c r="F57" s="3">
        <f t="shared" si="9"/>
        <v>25</v>
      </c>
      <c r="G57" s="3">
        <f t="shared" si="9"/>
        <v>0</v>
      </c>
      <c r="H57" s="3">
        <f t="shared" si="9"/>
        <v>6</v>
      </c>
      <c r="I57" s="3">
        <f t="shared" si="9"/>
        <v>4</v>
      </c>
      <c r="J57" s="3">
        <f t="shared" si="9"/>
        <v>4</v>
      </c>
      <c r="K57" s="3">
        <f t="shared" si="9"/>
        <v>3</v>
      </c>
      <c r="L57" s="3">
        <f t="shared" si="9"/>
        <v>0</v>
      </c>
      <c r="M57" s="3">
        <f t="shared" si="9"/>
        <v>0</v>
      </c>
      <c r="N57" s="20">
        <f>SUM(B57:M57)</f>
        <v>212</v>
      </c>
    </row>
    <row r="58" spans="1:14" ht="27.75" customHeight="1" x14ac:dyDescent="0.25">
      <c r="A58" s="10" t="s">
        <v>19</v>
      </c>
      <c r="B58" s="11">
        <f t="shared" ref="B58:M58" si="10">SUM(B56:B57)</f>
        <v>97</v>
      </c>
      <c r="C58" s="11">
        <f t="shared" si="10"/>
        <v>129</v>
      </c>
      <c r="D58" s="11">
        <f t="shared" si="10"/>
        <v>76</v>
      </c>
      <c r="E58" s="11">
        <f t="shared" si="10"/>
        <v>46</v>
      </c>
      <c r="F58" s="11">
        <f t="shared" si="10"/>
        <v>46</v>
      </c>
      <c r="G58" s="11">
        <f t="shared" si="10"/>
        <v>1</v>
      </c>
      <c r="H58" s="11">
        <f t="shared" si="10"/>
        <v>9</v>
      </c>
      <c r="I58" s="11">
        <f t="shared" si="10"/>
        <v>8</v>
      </c>
      <c r="J58" s="11">
        <f t="shared" si="10"/>
        <v>9</v>
      </c>
      <c r="K58" s="11">
        <f t="shared" si="10"/>
        <v>6</v>
      </c>
      <c r="L58" s="11">
        <f t="shared" si="10"/>
        <v>1</v>
      </c>
      <c r="M58" s="11">
        <f t="shared" si="10"/>
        <v>0</v>
      </c>
      <c r="N58" s="11">
        <f>SUM(B58:M58)</f>
        <v>428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129</v>
      </c>
      <c r="D60" s="18">
        <f t="shared" si="11"/>
        <v>76</v>
      </c>
      <c r="E60" s="18">
        <f t="shared" si="11"/>
        <v>46</v>
      </c>
      <c r="F60" s="18">
        <f t="shared" si="11"/>
        <v>46</v>
      </c>
      <c r="G60" s="18">
        <f t="shared" si="11"/>
        <v>1</v>
      </c>
      <c r="H60" s="18">
        <f t="shared" si="11"/>
        <v>18</v>
      </c>
      <c r="I60" s="18">
        <f t="shared" si="11"/>
        <v>8</v>
      </c>
      <c r="J60" s="18">
        <f t="shared" si="11"/>
        <v>9</v>
      </c>
      <c r="K60" s="18">
        <f t="shared" si="11"/>
        <v>12</v>
      </c>
      <c r="L60" s="18">
        <f t="shared" si="11"/>
        <v>2</v>
      </c>
      <c r="M60" s="18">
        <f t="shared" si="11"/>
        <v>0</v>
      </c>
      <c r="N60" s="19">
        <f>SUM(B60:M60)</f>
        <v>347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XFD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topLeftCell="A10" zoomScaleNormal="100" workbookViewId="0">
      <selection activeCell="B15" sqref="B1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28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16</v>
      </c>
      <c r="C14" s="3">
        <v>13</v>
      </c>
      <c r="D14" s="3">
        <v>6</v>
      </c>
      <c r="E14" s="3">
        <v>7</v>
      </c>
      <c r="F14" s="3">
        <v>5</v>
      </c>
      <c r="G14" s="3">
        <v>1</v>
      </c>
      <c r="H14" s="3">
        <v>1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20">
        <f>SUM(B14:M14)</f>
        <v>51</v>
      </c>
    </row>
    <row r="15" spans="1:14" x14ac:dyDescent="0.25">
      <c r="A15" s="4" t="str">
        <f>'7-8AM'!A15</f>
        <v>Kitale Bound</v>
      </c>
      <c r="B15" s="3">
        <v>14</v>
      </c>
      <c r="C15" s="3">
        <v>16</v>
      </c>
      <c r="D15" s="3">
        <v>12</v>
      </c>
      <c r="E15" s="3">
        <v>3</v>
      </c>
      <c r="F15" s="3">
        <v>7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1</v>
      </c>
      <c r="M15" s="3">
        <v>0</v>
      </c>
      <c r="N15" s="20">
        <f>SUM(B15:M15)</f>
        <v>54</v>
      </c>
    </row>
    <row r="16" spans="1:14" ht="27" customHeight="1" x14ac:dyDescent="0.25">
      <c r="A16" s="10" t="s">
        <v>19</v>
      </c>
      <c r="B16" s="11">
        <f t="shared" ref="B16:M16" si="0">SUM(B14:B15)</f>
        <v>30</v>
      </c>
      <c r="C16" s="11">
        <f t="shared" si="0"/>
        <v>29</v>
      </c>
      <c r="D16" s="11">
        <f t="shared" si="0"/>
        <v>18</v>
      </c>
      <c r="E16" s="11">
        <f t="shared" si="0"/>
        <v>10</v>
      </c>
      <c r="F16" s="11">
        <f t="shared" si="0"/>
        <v>12</v>
      </c>
      <c r="G16" s="11">
        <f t="shared" si="0"/>
        <v>1</v>
      </c>
      <c r="H16" s="11">
        <f t="shared" si="0"/>
        <v>1</v>
      </c>
      <c r="I16" s="11">
        <f t="shared" si="0"/>
        <v>0</v>
      </c>
      <c r="J16" s="11">
        <f t="shared" si="0"/>
        <v>2</v>
      </c>
      <c r="K16" s="11">
        <f t="shared" si="0"/>
        <v>1</v>
      </c>
      <c r="L16" s="11">
        <f t="shared" si="0"/>
        <v>1</v>
      </c>
      <c r="M16" s="11">
        <f t="shared" si="0"/>
        <v>0</v>
      </c>
      <c r="N16" s="11">
        <f>SUM(B16:M16)</f>
        <v>105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29</v>
      </c>
      <c r="D18" s="18">
        <f t="shared" si="1"/>
        <v>18</v>
      </c>
      <c r="E18" s="18">
        <f t="shared" si="1"/>
        <v>10</v>
      </c>
      <c r="F18" s="18">
        <f t="shared" si="1"/>
        <v>12</v>
      </c>
      <c r="G18" s="18">
        <f t="shared" si="1"/>
        <v>1</v>
      </c>
      <c r="H18" s="18">
        <f t="shared" si="1"/>
        <v>2</v>
      </c>
      <c r="I18" s="18">
        <f t="shared" si="1"/>
        <v>0</v>
      </c>
      <c r="J18" s="18">
        <f t="shared" si="1"/>
        <v>2</v>
      </c>
      <c r="K18" s="18">
        <f t="shared" si="1"/>
        <v>2</v>
      </c>
      <c r="L18" s="18">
        <f t="shared" si="1"/>
        <v>2</v>
      </c>
      <c r="M18" s="18">
        <f t="shared" si="1"/>
        <v>0</v>
      </c>
      <c r="N18" s="19">
        <f>SUM(B18:M18)</f>
        <v>78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29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15</v>
      </c>
      <c r="C24" s="3">
        <v>16</v>
      </c>
      <c r="D24" s="3">
        <v>7</v>
      </c>
      <c r="E24" s="3">
        <v>6</v>
      </c>
      <c r="F24" s="3">
        <v>7</v>
      </c>
      <c r="G24" s="3">
        <v>2</v>
      </c>
      <c r="H24" s="3">
        <v>0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20">
        <f>SUM(B24:M24)</f>
        <v>56</v>
      </c>
    </row>
    <row r="25" spans="1:14" x14ac:dyDescent="0.25">
      <c r="A25" s="4" t="str">
        <f>'7-8AM'!A25</f>
        <v>Kitale Bound</v>
      </c>
      <c r="B25" s="3">
        <v>15</v>
      </c>
      <c r="C25" s="3">
        <v>11</v>
      </c>
      <c r="D25" s="3">
        <v>11</v>
      </c>
      <c r="E25" s="3">
        <v>3</v>
      </c>
      <c r="F25" s="3">
        <v>4</v>
      </c>
      <c r="G25" s="3">
        <v>0</v>
      </c>
      <c r="H25" s="3">
        <v>1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20">
        <f>SUM(B25:M25)</f>
        <v>46</v>
      </c>
    </row>
    <row r="26" spans="1:14" ht="27" customHeight="1" x14ac:dyDescent="0.25">
      <c r="A26" s="10" t="s">
        <v>19</v>
      </c>
      <c r="B26" s="11">
        <f t="shared" ref="B26:M26" si="2">SUM(B24:B25)</f>
        <v>30</v>
      </c>
      <c r="C26" s="11">
        <f t="shared" si="2"/>
        <v>27</v>
      </c>
      <c r="D26" s="11">
        <f t="shared" si="2"/>
        <v>18</v>
      </c>
      <c r="E26" s="11">
        <f t="shared" si="2"/>
        <v>9</v>
      </c>
      <c r="F26" s="11">
        <f t="shared" si="2"/>
        <v>11</v>
      </c>
      <c r="G26" s="11">
        <f t="shared" si="2"/>
        <v>2</v>
      </c>
      <c r="H26" s="11">
        <f t="shared" si="2"/>
        <v>1</v>
      </c>
      <c r="I26" s="11">
        <f t="shared" si="2"/>
        <v>1</v>
      </c>
      <c r="J26" s="11">
        <f t="shared" si="2"/>
        <v>2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102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27</v>
      </c>
      <c r="D28" s="18">
        <f t="shared" si="3"/>
        <v>18</v>
      </c>
      <c r="E28" s="18">
        <f t="shared" si="3"/>
        <v>9</v>
      </c>
      <c r="F28" s="18">
        <f t="shared" si="3"/>
        <v>11</v>
      </c>
      <c r="G28" s="18">
        <f t="shared" si="3"/>
        <v>2</v>
      </c>
      <c r="H28" s="18">
        <f t="shared" si="3"/>
        <v>2</v>
      </c>
      <c r="I28" s="18">
        <f t="shared" si="3"/>
        <v>1</v>
      </c>
      <c r="J28" s="18">
        <f t="shared" si="3"/>
        <v>2</v>
      </c>
      <c r="K28" s="18">
        <f t="shared" si="3"/>
        <v>2</v>
      </c>
      <c r="L28" s="18">
        <f t="shared" si="3"/>
        <v>0</v>
      </c>
      <c r="M28" s="18">
        <f t="shared" si="3"/>
        <v>0</v>
      </c>
      <c r="N28" s="19">
        <f>SUM(B28:M28)</f>
        <v>74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30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.75" customHeight="1" x14ac:dyDescent="0.25">
      <c r="A34" s="4" t="str">
        <f>'7-8AM'!A34</f>
        <v>Maili Tisa Bound</v>
      </c>
      <c r="B34" s="3">
        <v>16</v>
      </c>
      <c r="C34" s="3">
        <v>13</v>
      </c>
      <c r="D34" s="3">
        <v>5</v>
      </c>
      <c r="E34" s="3">
        <v>2</v>
      </c>
      <c r="F34" s="3">
        <v>5</v>
      </c>
      <c r="G34" s="3">
        <v>3</v>
      </c>
      <c r="H34" s="3">
        <v>1</v>
      </c>
      <c r="I34" s="3">
        <v>4</v>
      </c>
      <c r="J34" s="3">
        <v>2</v>
      </c>
      <c r="K34" s="3">
        <v>1</v>
      </c>
      <c r="L34" s="3">
        <v>0</v>
      </c>
      <c r="M34" s="3">
        <v>0</v>
      </c>
      <c r="N34" s="20">
        <f>SUM(B34:M34)</f>
        <v>52</v>
      </c>
    </row>
    <row r="35" spans="1:14" x14ac:dyDescent="0.25">
      <c r="A35" s="4" t="str">
        <f>'7-8AM'!A35</f>
        <v>Kitale Bound</v>
      </c>
      <c r="B35" s="3">
        <v>11</v>
      </c>
      <c r="C35" s="3">
        <v>8</v>
      </c>
      <c r="D35" s="3">
        <v>11</v>
      </c>
      <c r="E35" s="3">
        <v>4</v>
      </c>
      <c r="F35" s="3">
        <v>8</v>
      </c>
      <c r="G35" s="3">
        <v>1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44</v>
      </c>
    </row>
    <row r="36" spans="1:14" ht="45" customHeight="1" x14ac:dyDescent="0.25">
      <c r="A36" s="10" t="s">
        <v>19</v>
      </c>
      <c r="B36" s="11">
        <f t="shared" ref="B36:M36" si="4">SUM(B34:B35)</f>
        <v>27</v>
      </c>
      <c r="C36" s="11">
        <f t="shared" si="4"/>
        <v>21</v>
      </c>
      <c r="D36" s="11">
        <f t="shared" si="4"/>
        <v>16</v>
      </c>
      <c r="E36" s="11">
        <f t="shared" si="4"/>
        <v>6</v>
      </c>
      <c r="F36" s="11">
        <f t="shared" si="4"/>
        <v>13</v>
      </c>
      <c r="G36" s="11">
        <f t="shared" si="4"/>
        <v>4</v>
      </c>
      <c r="H36" s="11">
        <f t="shared" si="4"/>
        <v>1</v>
      </c>
      <c r="I36" s="11">
        <f t="shared" si="4"/>
        <v>4</v>
      </c>
      <c r="J36" s="11">
        <f t="shared" si="4"/>
        <v>3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96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21</v>
      </c>
      <c r="D38" s="18">
        <f t="shared" si="5"/>
        <v>16</v>
      </c>
      <c r="E38" s="18">
        <f t="shared" si="5"/>
        <v>6</v>
      </c>
      <c r="F38" s="18">
        <f t="shared" si="5"/>
        <v>13</v>
      </c>
      <c r="G38" s="18">
        <f t="shared" si="5"/>
        <v>4</v>
      </c>
      <c r="H38" s="18">
        <f t="shared" si="5"/>
        <v>2</v>
      </c>
      <c r="I38" s="18">
        <f t="shared" si="5"/>
        <v>4</v>
      </c>
      <c r="J38" s="18">
        <f t="shared" si="5"/>
        <v>3</v>
      </c>
      <c r="K38" s="18">
        <f t="shared" si="5"/>
        <v>2</v>
      </c>
      <c r="L38" s="18">
        <f t="shared" si="5"/>
        <v>0</v>
      </c>
      <c r="M38" s="18">
        <f t="shared" si="5"/>
        <v>0</v>
      </c>
      <c r="N38" s="19">
        <f>SUM(B38:M38)</f>
        <v>71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31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9</v>
      </c>
      <c r="C44" s="3">
        <v>15</v>
      </c>
      <c r="D44" s="3">
        <v>7</v>
      </c>
      <c r="E44" s="3">
        <v>4</v>
      </c>
      <c r="F44" s="3">
        <v>9</v>
      </c>
      <c r="G44" s="3">
        <v>0</v>
      </c>
      <c r="H44" s="3">
        <v>0</v>
      </c>
      <c r="I44" s="3">
        <v>2</v>
      </c>
      <c r="J44" s="3">
        <v>1</v>
      </c>
      <c r="K44" s="3">
        <v>1</v>
      </c>
      <c r="L44" s="3">
        <v>0</v>
      </c>
      <c r="M44" s="3">
        <v>0</v>
      </c>
      <c r="N44" s="20">
        <f>SUM(B44:M44)</f>
        <v>48</v>
      </c>
    </row>
    <row r="45" spans="1:14" ht="32.25" customHeight="1" x14ac:dyDescent="0.25">
      <c r="A45" s="4" t="str">
        <f>'7-8AM'!A45</f>
        <v>Kitale Bound</v>
      </c>
      <c r="B45" s="3">
        <v>18</v>
      </c>
      <c r="C45" s="3">
        <v>13</v>
      </c>
      <c r="D45" s="3">
        <v>6</v>
      </c>
      <c r="E45" s="3">
        <v>6</v>
      </c>
      <c r="F45" s="3">
        <v>6</v>
      </c>
      <c r="G45" s="3">
        <v>0</v>
      </c>
      <c r="H45" s="3">
        <v>0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20">
        <f>SUM(B45:M45)</f>
        <v>51</v>
      </c>
    </row>
    <row r="46" spans="1:14" ht="27.75" customHeight="1" x14ac:dyDescent="0.25">
      <c r="A46" s="10" t="s">
        <v>19</v>
      </c>
      <c r="B46" s="11">
        <f t="shared" ref="B46:M46" si="6">SUM(B44:B45)</f>
        <v>27</v>
      </c>
      <c r="C46" s="11">
        <f t="shared" si="6"/>
        <v>28</v>
      </c>
      <c r="D46" s="11">
        <f t="shared" si="6"/>
        <v>13</v>
      </c>
      <c r="E46" s="11">
        <f t="shared" si="6"/>
        <v>10</v>
      </c>
      <c r="F46" s="11">
        <f t="shared" si="6"/>
        <v>15</v>
      </c>
      <c r="G46" s="11">
        <f t="shared" si="6"/>
        <v>0</v>
      </c>
      <c r="H46" s="11">
        <f t="shared" si="6"/>
        <v>0</v>
      </c>
      <c r="I46" s="11">
        <f t="shared" si="6"/>
        <v>3</v>
      </c>
      <c r="J46" s="11">
        <f t="shared" si="6"/>
        <v>2</v>
      </c>
      <c r="K46" s="11">
        <f t="shared" si="6"/>
        <v>1</v>
      </c>
      <c r="L46" s="11">
        <f t="shared" si="6"/>
        <v>0</v>
      </c>
      <c r="M46" s="11">
        <f t="shared" si="6"/>
        <v>0</v>
      </c>
      <c r="N46" s="11">
        <f>SUM(B46:M46)</f>
        <v>99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28</v>
      </c>
      <c r="D48" s="18">
        <f t="shared" si="7"/>
        <v>13</v>
      </c>
      <c r="E48" s="18">
        <f t="shared" si="7"/>
        <v>10</v>
      </c>
      <c r="F48" s="18">
        <f t="shared" si="7"/>
        <v>15</v>
      </c>
      <c r="G48" s="18">
        <f t="shared" si="7"/>
        <v>0</v>
      </c>
      <c r="H48" s="18">
        <f t="shared" si="7"/>
        <v>0</v>
      </c>
      <c r="I48" s="18">
        <f t="shared" si="7"/>
        <v>3</v>
      </c>
      <c r="J48" s="18">
        <f t="shared" si="7"/>
        <v>2</v>
      </c>
      <c r="K48" s="18">
        <f t="shared" si="7"/>
        <v>2</v>
      </c>
      <c r="L48" s="18">
        <f t="shared" si="7"/>
        <v>0</v>
      </c>
      <c r="M48" s="18">
        <f t="shared" si="7"/>
        <v>0</v>
      </c>
      <c r="N48" s="19">
        <f>SUM(B48:M48)</f>
        <v>73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32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B14+B24+B34+B44</f>
        <v>56</v>
      </c>
      <c r="C56" s="3">
        <f t="shared" si="8"/>
        <v>57</v>
      </c>
      <c r="D56" s="3">
        <f t="shared" si="8"/>
        <v>25</v>
      </c>
      <c r="E56" s="3">
        <f t="shared" si="8"/>
        <v>19</v>
      </c>
      <c r="F56" s="3">
        <f t="shared" si="8"/>
        <v>26</v>
      </c>
      <c r="G56" s="3">
        <f t="shared" si="8"/>
        <v>6</v>
      </c>
      <c r="H56" s="3">
        <f t="shared" si="8"/>
        <v>2</v>
      </c>
      <c r="I56" s="3">
        <f t="shared" si="8"/>
        <v>7</v>
      </c>
      <c r="J56" s="3">
        <f t="shared" si="8"/>
        <v>5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207</v>
      </c>
    </row>
    <row r="57" spans="1:14" x14ac:dyDescent="0.25">
      <c r="A57" s="4" t="str">
        <f>'7-8AM'!A57</f>
        <v>Kitale Bound</v>
      </c>
      <c r="B57" s="3">
        <f t="shared" ref="B57:M57" si="9">B15+B25+B35+B45</f>
        <v>58</v>
      </c>
      <c r="C57" s="3">
        <f t="shared" si="9"/>
        <v>48</v>
      </c>
      <c r="D57" s="3">
        <f t="shared" si="9"/>
        <v>40</v>
      </c>
      <c r="E57" s="3">
        <f t="shared" si="9"/>
        <v>16</v>
      </c>
      <c r="F57" s="3">
        <f t="shared" si="9"/>
        <v>25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4</v>
      </c>
      <c r="K57" s="3">
        <f t="shared" si="9"/>
        <v>0</v>
      </c>
      <c r="L57" s="3">
        <f t="shared" si="9"/>
        <v>1</v>
      </c>
      <c r="M57" s="3">
        <f t="shared" si="9"/>
        <v>0</v>
      </c>
      <c r="N57" s="20">
        <f>SUM(B57:M57)</f>
        <v>195</v>
      </c>
    </row>
    <row r="58" spans="1:14" ht="27.75" customHeight="1" x14ac:dyDescent="0.25">
      <c r="A58" s="10" t="s">
        <v>19</v>
      </c>
      <c r="B58" s="11">
        <f t="shared" ref="B58:M58" si="10">SUM(B56:B57)</f>
        <v>114</v>
      </c>
      <c r="C58" s="11">
        <f t="shared" si="10"/>
        <v>105</v>
      </c>
      <c r="D58" s="11">
        <f t="shared" si="10"/>
        <v>65</v>
      </c>
      <c r="E58" s="11">
        <f t="shared" si="10"/>
        <v>35</v>
      </c>
      <c r="F58" s="11">
        <f t="shared" si="10"/>
        <v>51</v>
      </c>
      <c r="G58" s="11">
        <f t="shared" si="10"/>
        <v>7</v>
      </c>
      <c r="H58" s="11">
        <f t="shared" si="10"/>
        <v>3</v>
      </c>
      <c r="I58" s="11">
        <f t="shared" si="10"/>
        <v>8</v>
      </c>
      <c r="J58" s="11">
        <f t="shared" si="10"/>
        <v>9</v>
      </c>
      <c r="K58" s="11">
        <f t="shared" si="10"/>
        <v>4</v>
      </c>
      <c r="L58" s="11">
        <f t="shared" si="10"/>
        <v>1</v>
      </c>
      <c r="M58" s="11">
        <f t="shared" si="10"/>
        <v>0</v>
      </c>
      <c r="N58" s="11">
        <f>SUM(B58:M58)</f>
        <v>402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105</v>
      </c>
      <c r="D60" s="18">
        <f t="shared" si="11"/>
        <v>65</v>
      </c>
      <c r="E60" s="18">
        <f t="shared" si="11"/>
        <v>35</v>
      </c>
      <c r="F60" s="18">
        <f t="shared" si="11"/>
        <v>51</v>
      </c>
      <c r="G60" s="18">
        <f t="shared" si="11"/>
        <v>7</v>
      </c>
      <c r="H60" s="18">
        <f t="shared" si="11"/>
        <v>6</v>
      </c>
      <c r="I60" s="18">
        <f t="shared" si="11"/>
        <v>8</v>
      </c>
      <c r="J60" s="18">
        <f t="shared" si="11"/>
        <v>9</v>
      </c>
      <c r="K60" s="18">
        <f t="shared" si="11"/>
        <v>8</v>
      </c>
      <c r="L60" s="18">
        <f t="shared" si="11"/>
        <v>2</v>
      </c>
      <c r="M60" s="18">
        <f t="shared" si="11"/>
        <v>0</v>
      </c>
      <c r="N60" s="19">
        <f>SUM(B60:M60)</f>
        <v>296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topLeftCell="A10" workbookViewId="0">
      <selection activeCell="B15" sqref="B1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s="28" customFormat="1" x14ac:dyDescent="0.25">
      <c r="A3" s="39" t="str">
        <f>'7-8AM'!A3</f>
        <v>ROAD: JN A8 MAILI TISA-KITALE (B14) ROAD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34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11</v>
      </c>
      <c r="C14" s="3">
        <v>8</v>
      </c>
      <c r="D14" s="3">
        <v>4</v>
      </c>
      <c r="E14" s="3">
        <v>2</v>
      </c>
      <c r="F14" s="3">
        <v>6</v>
      </c>
      <c r="G14" s="3">
        <v>0</v>
      </c>
      <c r="H14" s="3">
        <v>0</v>
      </c>
      <c r="I14" s="3">
        <v>1</v>
      </c>
      <c r="J14" s="3">
        <v>3</v>
      </c>
      <c r="K14" s="3">
        <v>1</v>
      </c>
      <c r="L14" s="3">
        <v>1</v>
      </c>
      <c r="M14" s="3">
        <v>0</v>
      </c>
      <c r="N14" s="20">
        <f>SUM(B14:M14)</f>
        <v>37</v>
      </c>
    </row>
    <row r="15" spans="1:14" x14ac:dyDescent="0.25">
      <c r="A15" s="4" t="str">
        <f>'7-8AM'!A15</f>
        <v>Kitale Bound</v>
      </c>
      <c r="B15" s="3">
        <v>15</v>
      </c>
      <c r="C15" s="3">
        <v>6</v>
      </c>
      <c r="D15" s="3">
        <v>6</v>
      </c>
      <c r="E15" s="3">
        <v>1</v>
      </c>
      <c r="F15" s="3">
        <v>8</v>
      </c>
      <c r="G15" s="3">
        <v>0</v>
      </c>
      <c r="H15" s="3">
        <v>1</v>
      </c>
      <c r="I15" s="3">
        <v>1</v>
      </c>
      <c r="J15" s="3">
        <v>4</v>
      </c>
      <c r="K15" s="3">
        <v>1</v>
      </c>
      <c r="L15" s="3">
        <v>0</v>
      </c>
      <c r="M15" s="3">
        <v>0</v>
      </c>
      <c r="N15" s="20">
        <f>SUM(B15:M15)</f>
        <v>43</v>
      </c>
    </row>
    <row r="16" spans="1:14" ht="27" customHeight="1" x14ac:dyDescent="0.25">
      <c r="A16" s="10" t="s">
        <v>19</v>
      </c>
      <c r="B16" s="11">
        <f t="shared" ref="B16:M16" si="0">SUM(B14:B15)</f>
        <v>26</v>
      </c>
      <c r="C16" s="11">
        <f t="shared" si="0"/>
        <v>14</v>
      </c>
      <c r="D16" s="11">
        <f t="shared" si="0"/>
        <v>10</v>
      </c>
      <c r="E16" s="11">
        <f t="shared" si="0"/>
        <v>3</v>
      </c>
      <c r="F16" s="11">
        <f t="shared" si="0"/>
        <v>14</v>
      </c>
      <c r="G16" s="11">
        <f t="shared" si="0"/>
        <v>0</v>
      </c>
      <c r="H16" s="11">
        <f t="shared" si="0"/>
        <v>1</v>
      </c>
      <c r="I16" s="11">
        <f t="shared" si="0"/>
        <v>2</v>
      </c>
      <c r="J16" s="11">
        <f t="shared" si="0"/>
        <v>7</v>
      </c>
      <c r="K16" s="11">
        <f t="shared" si="0"/>
        <v>2</v>
      </c>
      <c r="L16" s="11">
        <f t="shared" si="0"/>
        <v>1</v>
      </c>
      <c r="M16" s="11">
        <f t="shared" si="0"/>
        <v>0</v>
      </c>
      <c r="N16" s="11">
        <f>SUM(B16:M16)</f>
        <v>80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14</v>
      </c>
      <c r="D18" s="18">
        <f t="shared" si="1"/>
        <v>10</v>
      </c>
      <c r="E18" s="18">
        <f t="shared" si="1"/>
        <v>3</v>
      </c>
      <c r="F18" s="18">
        <f t="shared" si="1"/>
        <v>14</v>
      </c>
      <c r="G18" s="18">
        <f t="shared" si="1"/>
        <v>0</v>
      </c>
      <c r="H18" s="18">
        <f t="shared" si="1"/>
        <v>2</v>
      </c>
      <c r="I18" s="18">
        <f t="shared" si="1"/>
        <v>2</v>
      </c>
      <c r="J18" s="18">
        <f t="shared" si="1"/>
        <v>7</v>
      </c>
      <c r="K18" s="18">
        <f t="shared" si="1"/>
        <v>4</v>
      </c>
      <c r="L18" s="18">
        <f t="shared" si="1"/>
        <v>2</v>
      </c>
      <c r="M18" s="18">
        <f t="shared" si="1"/>
        <v>0</v>
      </c>
      <c r="N18" s="19">
        <f>SUM(B18:M18)</f>
        <v>58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35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2.25" customHeight="1" x14ac:dyDescent="0.25">
      <c r="A24" s="4" t="str">
        <f>'7-8AM'!A24</f>
        <v>Maili Tisa Bound</v>
      </c>
      <c r="B24" s="3">
        <v>14</v>
      </c>
      <c r="C24" s="3">
        <v>11</v>
      </c>
      <c r="D24" s="3">
        <v>4</v>
      </c>
      <c r="E24" s="3">
        <v>8</v>
      </c>
      <c r="F24" s="3">
        <v>4</v>
      </c>
      <c r="G24" s="3">
        <v>0</v>
      </c>
      <c r="H24" s="3">
        <v>0</v>
      </c>
      <c r="I24" s="3">
        <v>1</v>
      </c>
      <c r="J24" s="3">
        <v>2</v>
      </c>
      <c r="K24" s="3">
        <v>1</v>
      </c>
      <c r="L24" s="3">
        <v>0</v>
      </c>
      <c r="M24" s="3">
        <v>0</v>
      </c>
      <c r="N24" s="20">
        <f>SUM(B24:M24)</f>
        <v>45</v>
      </c>
    </row>
    <row r="25" spans="1:14" ht="31.5" customHeight="1" x14ac:dyDescent="0.25">
      <c r="A25" s="4" t="str">
        <f>'7-8AM'!A25</f>
        <v>Kitale Bound</v>
      </c>
      <c r="B25" s="3">
        <v>12</v>
      </c>
      <c r="C25" s="3">
        <v>7</v>
      </c>
      <c r="D25" s="3">
        <v>3</v>
      </c>
      <c r="E25" s="3">
        <v>1</v>
      </c>
      <c r="F25" s="3">
        <v>9</v>
      </c>
      <c r="G25" s="3">
        <v>1</v>
      </c>
      <c r="H25" s="3">
        <v>1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20">
        <f>SUM(B25:M25)</f>
        <v>37</v>
      </c>
    </row>
    <row r="26" spans="1:14" ht="27" customHeight="1" x14ac:dyDescent="0.25">
      <c r="A26" s="10" t="s">
        <v>19</v>
      </c>
      <c r="B26" s="11">
        <f t="shared" ref="B26:M26" si="2">SUM(B24:B25)</f>
        <v>26</v>
      </c>
      <c r="C26" s="11">
        <f t="shared" si="2"/>
        <v>18</v>
      </c>
      <c r="D26" s="11">
        <f t="shared" si="2"/>
        <v>7</v>
      </c>
      <c r="E26" s="11">
        <f t="shared" si="2"/>
        <v>9</v>
      </c>
      <c r="F26" s="11">
        <f t="shared" si="2"/>
        <v>13</v>
      </c>
      <c r="G26" s="11">
        <f t="shared" si="2"/>
        <v>1</v>
      </c>
      <c r="H26" s="11">
        <f t="shared" si="2"/>
        <v>1</v>
      </c>
      <c r="I26" s="11">
        <f t="shared" si="2"/>
        <v>3</v>
      </c>
      <c r="J26" s="11">
        <f t="shared" si="2"/>
        <v>3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82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18</v>
      </c>
      <c r="D28" s="18">
        <f t="shared" si="3"/>
        <v>7</v>
      </c>
      <c r="E28" s="18">
        <f t="shared" si="3"/>
        <v>9</v>
      </c>
      <c r="F28" s="18">
        <f t="shared" si="3"/>
        <v>13</v>
      </c>
      <c r="G28" s="18">
        <f t="shared" si="3"/>
        <v>1</v>
      </c>
      <c r="H28" s="18">
        <f t="shared" si="3"/>
        <v>2</v>
      </c>
      <c r="I28" s="18">
        <f t="shared" si="3"/>
        <v>3</v>
      </c>
      <c r="J28" s="18">
        <f t="shared" si="3"/>
        <v>3</v>
      </c>
      <c r="K28" s="18">
        <f t="shared" si="3"/>
        <v>2</v>
      </c>
      <c r="L28" s="18">
        <f t="shared" si="3"/>
        <v>0</v>
      </c>
      <c r="M28" s="18">
        <f t="shared" si="3"/>
        <v>0</v>
      </c>
      <c r="N28" s="19">
        <f>SUM(B28:M28)</f>
        <v>58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36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30" customHeight="1" x14ac:dyDescent="0.25">
      <c r="A34" s="4" t="str">
        <f>'7-8AM'!A34</f>
        <v>Maili Tisa Bound</v>
      </c>
      <c r="B34" s="3">
        <v>13</v>
      </c>
      <c r="C34" s="3">
        <v>7</v>
      </c>
      <c r="D34" s="3">
        <v>6</v>
      </c>
      <c r="E34" s="3">
        <v>3</v>
      </c>
      <c r="F34" s="3">
        <v>7</v>
      </c>
      <c r="G34" s="3">
        <v>1</v>
      </c>
      <c r="H34" s="3">
        <v>0</v>
      </c>
      <c r="I34" s="3">
        <v>0</v>
      </c>
      <c r="J34" s="3">
        <v>3</v>
      </c>
      <c r="K34" s="3">
        <v>1</v>
      </c>
      <c r="L34" s="3">
        <v>0</v>
      </c>
      <c r="M34" s="3">
        <v>0</v>
      </c>
      <c r="N34" s="20">
        <f>SUM(B34:M34)</f>
        <v>41</v>
      </c>
    </row>
    <row r="35" spans="1:14" ht="30.75" customHeight="1" x14ac:dyDescent="0.25">
      <c r="A35" s="4" t="str">
        <f>'7-8AM'!A35</f>
        <v>Kitale Bound</v>
      </c>
      <c r="B35" s="3">
        <v>15</v>
      </c>
      <c r="C35" s="3">
        <v>13</v>
      </c>
      <c r="D35" s="3">
        <v>7</v>
      </c>
      <c r="E35" s="3">
        <v>5</v>
      </c>
      <c r="F35" s="3">
        <v>9</v>
      </c>
      <c r="G35" s="3">
        <v>0</v>
      </c>
      <c r="H35" s="3">
        <v>0</v>
      </c>
      <c r="I35" s="3">
        <v>2</v>
      </c>
      <c r="J35" s="3">
        <v>4</v>
      </c>
      <c r="K35" s="3">
        <v>1</v>
      </c>
      <c r="L35" s="3">
        <v>0</v>
      </c>
      <c r="M35" s="3">
        <v>0</v>
      </c>
      <c r="N35" s="20">
        <f>SUM(B35:M35)</f>
        <v>56</v>
      </c>
    </row>
    <row r="36" spans="1:14" ht="45" customHeight="1" x14ac:dyDescent="0.25">
      <c r="A36" s="10" t="s">
        <v>19</v>
      </c>
      <c r="B36" s="11">
        <f t="shared" ref="B36:M36" si="4">SUM(B34:B35)</f>
        <v>28</v>
      </c>
      <c r="C36" s="11">
        <f t="shared" si="4"/>
        <v>20</v>
      </c>
      <c r="D36" s="11">
        <f t="shared" si="4"/>
        <v>13</v>
      </c>
      <c r="E36" s="11">
        <f t="shared" si="4"/>
        <v>8</v>
      </c>
      <c r="F36" s="11">
        <f t="shared" si="4"/>
        <v>16</v>
      </c>
      <c r="G36" s="11">
        <f t="shared" si="4"/>
        <v>1</v>
      </c>
      <c r="H36" s="11">
        <f t="shared" si="4"/>
        <v>0</v>
      </c>
      <c r="I36" s="11">
        <f t="shared" si="4"/>
        <v>2</v>
      </c>
      <c r="J36" s="11">
        <f t="shared" si="4"/>
        <v>7</v>
      </c>
      <c r="K36" s="11">
        <f t="shared" si="4"/>
        <v>2</v>
      </c>
      <c r="L36" s="11">
        <f t="shared" si="4"/>
        <v>0</v>
      </c>
      <c r="M36" s="11">
        <f t="shared" si="4"/>
        <v>0</v>
      </c>
      <c r="N36" s="11">
        <f>SUM(B36:M36)</f>
        <v>97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20</v>
      </c>
      <c r="D38" s="18">
        <f t="shared" si="5"/>
        <v>13</v>
      </c>
      <c r="E38" s="18">
        <f t="shared" si="5"/>
        <v>8</v>
      </c>
      <c r="F38" s="18">
        <f t="shared" si="5"/>
        <v>16</v>
      </c>
      <c r="G38" s="18">
        <f t="shared" si="5"/>
        <v>1</v>
      </c>
      <c r="H38" s="18">
        <f t="shared" si="5"/>
        <v>0</v>
      </c>
      <c r="I38" s="18">
        <f t="shared" si="5"/>
        <v>2</v>
      </c>
      <c r="J38" s="18">
        <f t="shared" si="5"/>
        <v>7</v>
      </c>
      <c r="K38" s="18">
        <f t="shared" si="5"/>
        <v>4</v>
      </c>
      <c r="L38" s="18">
        <f t="shared" si="5"/>
        <v>0</v>
      </c>
      <c r="M38" s="18">
        <f t="shared" si="5"/>
        <v>0</v>
      </c>
      <c r="N38" s="19">
        <f>SUM(B38:M38)</f>
        <v>71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37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12</v>
      </c>
      <c r="C44" s="3">
        <v>12</v>
      </c>
      <c r="D44" s="3">
        <v>6</v>
      </c>
      <c r="E44" s="3">
        <v>3</v>
      </c>
      <c r="F44" s="3">
        <v>6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20">
        <f>SUM(B44:M44)</f>
        <v>40</v>
      </c>
    </row>
    <row r="45" spans="1:14" ht="32.25" customHeight="1" x14ac:dyDescent="0.25">
      <c r="A45" s="4" t="str">
        <f>'7-8AM'!A45</f>
        <v>Kitale Bound</v>
      </c>
      <c r="B45" s="3">
        <v>18</v>
      </c>
      <c r="C45" s="3">
        <v>18</v>
      </c>
      <c r="D45" s="3">
        <v>6</v>
      </c>
      <c r="E45" s="3">
        <v>5</v>
      </c>
      <c r="F45" s="3">
        <v>11</v>
      </c>
      <c r="G45" s="3">
        <v>0</v>
      </c>
      <c r="H45" s="3">
        <v>0</v>
      </c>
      <c r="I45" s="3">
        <v>0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62</v>
      </c>
    </row>
    <row r="46" spans="1:14" ht="27.75" customHeight="1" x14ac:dyDescent="0.25">
      <c r="A46" s="10" t="s">
        <v>19</v>
      </c>
      <c r="B46" s="11">
        <f t="shared" ref="B46:M46" si="6">SUM(B44:B45)</f>
        <v>30</v>
      </c>
      <c r="C46" s="11">
        <f t="shared" si="6"/>
        <v>30</v>
      </c>
      <c r="D46" s="11">
        <f t="shared" si="6"/>
        <v>12</v>
      </c>
      <c r="E46" s="11">
        <f t="shared" si="6"/>
        <v>8</v>
      </c>
      <c r="F46" s="11">
        <f t="shared" si="6"/>
        <v>17</v>
      </c>
      <c r="G46" s="11">
        <f t="shared" si="6"/>
        <v>0</v>
      </c>
      <c r="H46" s="11">
        <f t="shared" si="6"/>
        <v>0</v>
      </c>
      <c r="I46" s="11">
        <f t="shared" si="6"/>
        <v>0</v>
      </c>
      <c r="J46" s="11">
        <f t="shared" si="6"/>
        <v>4</v>
      </c>
      <c r="K46" s="11">
        <f t="shared" si="6"/>
        <v>1</v>
      </c>
      <c r="L46" s="11">
        <f t="shared" si="6"/>
        <v>0</v>
      </c>
      <c r="M46" s="11">
        <f t="shared" si="6"/>
        <v>0</v>
      </c>
      <c r="N46" s="11">
        <f>SUM(B46:M46)</f>
        <v>102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30</v>
      </c>
      <c r="D48" s="18">
        <f t="shared" si="7"/>
        <v>12</v>
      </c>
      <c r="E48" s="18">
        <f t="shared" si="7"/>
        <v>8</v>
      </c>
      <c r="F48" s="18">
        <f t="shared" si="7"/>
        <v>17</v>
      </c>
      <c r="G48" s="18">
        <f t="shared" si="7"/>
        <v>0</v>
      </c>
      <c r="H48" s="18">
        <f t="shared" si="7"/>
        <v>0</v>
      </c>
      <c r="I48" s="18">
        <f t="shared" si="7"/>
        <v>0</v>
      </c>
      <c r="J48" s="18">
        <f t="shared" si="7"/>
        <v>4</v>
      </c>
      <c r="K48" s="18">
        <f t="shared" si="7"/>
        <v>2</v>
      </c>
      <c r="L48" s="18">
        <f t="shared" si="7"/>
        <v>0</v>
      </c>
      <c r="M48" s="18">
        <f t="shared" si="7"/>
        <v>0</v>
      </c>
      <c r="N48" s="19">
        <f>SUM(B48:M48)</f>
        <v>73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38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>B14+B24+B34+B44</f>
        <v>50</v>
      </c>
      <c r="C56" s="3">
        <f t="shared" ref="C56:M56" si="8">SUM(C14,C24,C34,C44)</f>
        <v>38</v>
      </c>
      <c r="D56" s="3">
        <f t="shared" si="8"/>
        <v>20</v>
      </c>
      <c r="E56" s="3">
        <f t="shared" si="8"/>
        <v>16</v>
      </c>
      <c r="F56" s="3">
        <f t="shared" si="8"/>
        <v>23</v>
      </c>
      <c r="G56" s="3">
        <f t="shared" si="8"/>
        <v>1</v>
      </c>
      <c r="H56" s="3">
        <f t="shared" si="8"/>
        <v>0</v>
      </c>
      <c r="I56" s="3">
        <f t="shared" si="8"/>
        <v>2</v>
      </c>
      <c r="J56" s="3">
        <f t="shared" si="8"/>
        <v>9</v>
      </c>
      <c r="K56" s="3">
        <f t="shared" si="8"/>
        <v>3</v>
      </c>
      <c r="L56" s="3">
        <f t="shared" si="8"/>
        <v>1</v>
      </c>
      <c r="M56" s="3">
        <f t="shared" si="8"/>
        <v>0</v>
      </c>
      <c r="N56" s="20">
        <f>SUM(B56:M56)</f>
        <v>163</v>
      </c>
    </row>
    <row r="57" spans="1:14" x14ac:dyDescent="0.25">
      <c r="A57" s="4" t="str">
        <f>'7-8AM'!A57</f>
        <v>Kitale Bound</v>
      </c>
      <c r="B57" s="3">
        <f>SUM(B15,B25,B35,B45)</f>
        <v>60</v>
      </c>
      <c r="C57" s="3">
        <f t="shared" ref="C57:M57" si="9">SUM(C15,C25,C35,C45)</f>
        <v>44</v>
      </c>
      <c r="D57" s="3">
        <f t="shared" si="9"/>
        <v>22</v>
      </c>
      <c r="E57" s="3">
        <f t="shared" si="9"/>
        <v>12</v>
      </c>
      <c r="F57" s="3">
        <f t="shared" si="9"/>
        <v>37</v>
      </c>
      <c r="G57" s="3">
        <f t="shared" si="9"/>
        <v>1</v>
      </c>
      <c r="H57" s="3">
        <f t="shared" si="9"/>
        <v>2</v>
      </c>
      <c r="I57" s="3">
        <f t="shared" si="9"/>
        <v>5</v>
      </c>
      <c r="J57" s="3">
        <f t="shared" si="9"/>
        <v>12</v>
      </c>
      <c r="K57" s="3">
        <f t="shared" si="9"/>
        <v>3</v>
      </c>
      <c r="L57" s="3">
        <f t="shared" si="9"/>
        <v>0</v>
      </c>
      <c r="M57" s="3">
        <f t="shared" si="9"/>
        <v>0</v>
      </c>
      <c r="N57" s="20">
        <f>SUM(B57:M57)</f>
        <v>198</v>
      </c>
    </row>
    <row r="58" spans="1:14" ht="27.75" customHeight="1" x14ac:dyDescent="0.25">
      <c r="A58" s="10" t="s">
        <v>19</v>
      </c>
      <c r="B58" s="11">
        <f t="shared" ref="B58:M58" si="10">SUM(B56:B57)</f>
        <v>110</v>
      </c>
      <c r="C58" s="11">
        <f t="shared" si="10"/>
        <v>82</v>
      </c>
      <c r="D58" s="11">
        <f t="shared" si="10"/>
        <v>42</v>
      </c>
      <c r="E58" s="11">
        <f t="shared" si="10"/>
        <v>28</v>
      </c>
      <c r="F58" s="11">
        <f t="shared" si="10"/>
        <v>60</v>
      </c>
      <c r="G58" s="11">
        <f t="shared" si="10"/>
        <v>2</v>
      </c>
      <c r="H58" s="11">
        <f t="shared" si="10"/>
        <v>2</v>
      </c>
      <c r="I58" s="11">
        <f t="shared" si="10"/>
        <v>7</v>
      </c>
      <c r="J58" s="11">
        <f t="shared" si="10"/>
        <v>21</v>
      </c>
      <c r="K58" s="11">
        <f t="shared" si="10"/>
        <v>6</v>
      </c>
      <c r="L58" s="11">
        <f t="shared" si="10"/>
        <v>1</v>
      </c>
      <c r="M58" s="11">
        <f t="shared" si="10"/>
        <v>0</v>
      </c>
      <c r="N58" s="11">
        <f>SUM(B58:M58)</f>
        <v>361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82</v>
      </c>
      <c r="D60" s="18">
        <f t="shared" si="11"/>
        <v>42</v>
      </c>
      <c r="E60" s="18">
        <f t="shared" si="11"/>
        <v>28</v>
      </c>
      <c r="F60" s="18">
        <f t="shared" si="11"/>
        <v>60</v>
      </c>
      <c r="G60" s="18">
        <f t="shared" si="11"/>
        <v>2</v>
      </c>
      <c r="H60" s="18">
        <f t="shared" si="11"/>
        <v>4</v>
      </c>
      <c r="I60" s="18">
        <f t="shared" si="11"/>
        <v>7</v>
      </c>
      <c r="J60" s="18">
        <f t="shared" si="11"/>
        <v>21</v>
      </c>
      <c r="K60" s="18">
        <f t="shared" si="11"/>
        <v>12</v>
      </c>
      <c r="L60" s="18">
        <f t="shared" si="11"/>
        <v>2</v>
      </c>
      <c r="M60" s="18">
        <f t="shared" si="11"/>
        <v>0</v>
      </c>
      <c r="N60" s="19">
        <f>SUM(B60:M60)</f>
        <v>260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6" workbookViewId="0">
      <selection activeCell="B14" sqref="B14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40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16</v>
      </c>
      <c r="C14" s="3">
        <v>10</v>
      </c>
      <c r="D14" s="3">
        <v>15</v>
      </c>
      <c r="E14" s="3">
        <v>4</v>
      </c>
      <c r="F14" s="3">
        <v>6</v>
      </c>
      <c r="G14" s="3">
        <v>1</v>
      </c>
      <c r="H14" s="3">
        <v>1</v>
      </c>
      <c r="I14" s="3">
        <v>0</v>
      </c>
      <c r="J14" s="3">
        <v>2</v>
      </c>
      <c r="K14" s="3">
        <v>1</v>
      </c>
      <c r="L14" s="3">
        <v>0</v>
      </c>
      <c r="M14" s="3">
        <v>0</v>
      </c>
      <c r="N14" s="20">
        <f>SUM(B14:M14)</f>
        <v>56</v>
      </c>
    </row>
    <row r="15" spans="1:14" x14ac:dyDescent="0.25">
      <c r="A15" s="4" t="str">
        <f>'7-8AM'!A15</f>
        <v>Kitale Bound</v>
      </c>
      <c r="B15" s="3">
        <v>13</v>
      </c>
      <c r="C15" s="3">
        <v>16</v>
      </c>
      <c r="D15" s="3">
        <v>7</v>
      </c>
      <c r="E15" s="3">
        <v>9</v>
      </c>
      <c r="F15" s="3">
        <v>4</v>
      </c>
      <c r="G15" s="3">
        <v>0</v>
      </c>
      <c r="H15" s="3">
        <v>0</v>
      </c>
      <c r="I15" s="3">
        <v>1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51</v>
      </c>
    </row>
    <row r="16" spans="1:14" ht="27" customHeight="1" x14ac:dyDescent="0.25">
      <c r="A16" s="10" t="s">
        <v>19</v>
      </c>
      <c r="B16" s="11">
        <f t="shared" ref="B16:M16" si="0">SUM(B14:B15)</f>
        <v>29</v>
      </c>
      <c r="C16" s="11">
        <f t="shared" si="0"/>
        <v>26</v>
      </c>
      <c r="D16" s="11">
        <f t="shared" si="0"/>
        <v>22</v>
      </c>
      <c r="E16" s="11">
        <f t="shared" si="0"/>
        <v>13</v>
      </c>
      <c r="F16" s="11">
        <f t="shared" si="0"/>
        <v>10</v>
      </c>
      <c r="G16" s="11">
        <f t="shared" si="0"/>
        <v>1</v>
      </c>
      <c r="H16" s="11">
        <f t="shared" si="0"/>
        <v>1</v>
      </c>
      <c r="I16" s="11">
        <f t="shared" si="0"/>
        <v>1</v>
      </c>
      <c r="J16" s="11">
        <f t="shared" si="0"/>
        <v>3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107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26</v>
      </c>
      <c r="D18" s="18">
        <f t="shared" si="1"/>
        <v>22</v>
      </c>
      <c r="E18" s="18">
        <f t="shared" si="1"/>
        <v>13</v>
      </c>
      <c r="F18" s="18">
        <f t="shared" si="1"/>
        <v>10</v>
      </c>
      <c r="G18" s="18">
        <f t="shared" si="1"/>
        <v>1</v>
      </c>
      <c r="H18" s="18">
        <f t="shared" si="1"/>
        <v>2</v>
      </c>
      <c r="I18" s="18">
        <f t="shared" si="1"/>
        <v>1</v>
      </c>
      <c r="J18" s="18">
        <f t="shared" si="1"/>
        <v>3</v>
      </c>
      <c r="K18" s="18">
        <f t="shared" si="1"/>
        <v>2</v>
      </c>
      <c r="L18" s="18">
        <f t="shared" si="1"/>
        <v>0</v>
      </c>
      <c r="M18" s="18">
        <f t="shared" si="1"/>
        <v>0</v>
      </c>
      <c r="N18" s="19">
        <f>SUM(B18:M18)</f>
        <v>80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41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12</v>
      </c>
      <c r="C24" s="3">
        <v>8</v>
      </c>
      <c r="D24" s="3">
        <v>7</v>
      </c>
      <c r="E24" s="3">
        <v>10</v>
      </c>
      <c r="F24" s="3">
        <v>6</v>
      </c>
      <c r="G24" s="3">
        <v>1</v>
      </c>
      <c r="H24" s="3">
        <v>1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20">
        <f>SUM(B24:M24)</f>
        <v>46</v>
      </c>
    </row>
    <row r="25" spans="1:14" ht="32.25" customHeight="1" x14ac:dyDescent="0.25">
      <c r="A25" s="4" t="str">
        <f>'7-8AM'!A25</f>
        <v>Kitale Bound</v>
      </c>
      <c r="B25" s="3">
        <v>16</v>
      </c>
      <c r="C25" s="3">
        <v>7</v>
      </c>
      <c r="D25" s="3">
        <v>6</v>
      </c>
      <c r="E25" s="3">
        <v>4</v>
      </c>
      <c r="F25" s="3">
        <v>9</v>
      </c>
      <c r="G25" s="3">
        <v>0</v>
      </c>
      <c r="H25" s="3">
        <v>0</v>
      </c>
      <c r="I25" s="3">
        <v>1</v>
      </c>
      <c r="J25" s="3">
        <v>1</v>
      </c>
      <c r="K25" s="3">
        <v>1</v>
      </c>
      <c r="L25" s="3">
        <v>1</v>
      </c>
      <c r="M25" s="3">
        <v>0</v>
      </c>
      <c r="N25" s="20">
        <f>SUM(B25:M25)</f>
        <v>46</v>
      </c>
    </row>
    <row r="26" spans="1:14" ht="27" customHeight="1" x14ac:dyDescent="0.25">
      <c r="A26" s="10" t="s">
        <v>19</v>
      </c>
      <c r="B26" s="11">
        <v>1</v>
      </c>
      <c r="C26" s="11">
        <f t="shared" ref="C26:M26" si="2">SUM(C24:C25)</f>
        <v>15</v>
      </c>
      <c r="D26" s="11">
        <f t="shared" si="2"/>
        <v>13</v>
      </c>
      <c r="E26" s="11">
        <f t="shared" si="2"/>
        <v>14</v>
      </c>
      <c r="F26" s="11">
        <f t="shared" si="2"/>
        <v>15</v>
      </c>
      <c r="G26" s="11">
        <f t="shared" si="2"/>
        <v>1</v>
      </c>
      <c r="H26" s="11">
        <f t="shared" si="2"/>
        <v>1</v>
      </c>
      <c r="I26" s="11">
        <f t="shared" si="2"/>
        <v>1</v>
      </c>
      <c r="J26" s="11">
        <f t="shared" si="2"/>
        <v>2</v>
      </c>
      <c r="K26" s="11">
        <f t="shared" si="2"/>
        <v>1</v>
      </c>
      <c r="L26" s="11">
        <f t="shared" si="2"/>
        <v>1</v>
      </c>
      <c r="M26" s="11">
        <f t="shared" si="2"/>
        <v>0</v>
      </c>
      <c r="N26" s="11">
        <f>SUM(B26:M26)</f>
        <v>65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15</v>
      </c>
      <c r="D28" s="18">
        <f t="shared" si="3"/>
        <v>13</v>
      </c>
      <c r="E28" s="18">
        <f t="shared" si="3"/>
        <v>14</v>
      </c>
      <c r="F28" s="18">
        <f t="shared" si="3"/>
        <v>15</v>
      </c>
      <c r="G28" s="18">
        <f t="shared" si="3"/>
        <v>1</v>
      </c>
      <c r="H28" s="18">
        <f t="shared" si="3"/>
        <v>2</v>
      </c>
      <c r="I28" s="18">
        <f t="shared" si="3"/>
        <v>1</v>
      </c>
      <c r="J28" s="18">
        <f t="shared" si="3"/>
        <v>2</v>
      </c>
      <c r="K28" s="18">
        <f t="shared" si="3"/>
        <v>2</v>
      </c>
      <c r="L28" s="18">
        <f t="shared" si="3"/>
        <v>2</v>
      </c>
      <c r="M28" s="18">
        <f t="shared" si="3"/>
        <v>0</v>
      </c>
      <c r="N28" s="19">
        <f>SUM(B28:M28)</f>
        <v>67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42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.75" customHeight="1" x14ac:dyDescent="0.25">
      <c r="A34" s="4" t="str">
        <f>'7-8AM'!A34</f>
        <v>Maili Tisa Bound</v>
      </c>
      <c r="B34" s="3">
        <v>11</v>
      </c>
      <c r="C34" s="3">
        <v>12</v>
      </c>
      <c r="D34" s="3">
        <v>9</v>
      </c>
      <c r="E34" s="3">
        <v>4</v>
      </c>
      <c r="F34" s="3">
        <v>8</v>
      </c>
      <c r="G34" s="3">
        <v>0</v>
      </c>
      <c r="H34" s="3">
        <v>0</v>
      </c>
      <c r="I34" s="3">
        <v>1</v>
      </c>
      <c r="J34" s="3">
        <v>1</v>
      </c>
      <c r="K34" s="3">
        <v>1</v>
      </c>
      <c r="L34" s="3">
        <v>0</v>
      </c>
      <c r="M34" s="3">
        <v>0</v>
      </c>
      <c r="N34" s="20">
        <f>SUM(B34:M34)</f>
        <v>47</v>
      </c>
    </row>
    <row r="35" spans="1:14" ht="33" customHeight="1" x14ac:dyDescent="0.25">
      <c r="A35" s="4" t="str">
        <f>'7-8AM'!A35</f>
        <v>Kitale Bound</v>
      </c>
      <c r="B35" s="3">
        <v>15</v>
      </c>
      <c r="C35" s="3">
        <v>13</v>
      </c>
      <c r="D35" s="3">
        <v>10</v>
      </c>
      <c r="E35" s="3">
        <v>6</v>
      </c>
      <c r="F35" s="3">
        <v>3</v>
      </c>
      <c r="G35" s="3">
        <v>2</v>
      </c>
      <c r="H35" s="3">
        <v>1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51</v>
      </c>
    </row>
    <row r="36" spans="1:14" ht="45" customHeight="1" x14ac:dyDescent="0.25">
      <c r="A36" s="10" t="s">
        <v>19</v>
      </c>
      <c r="B36" s="11">
        <f t="shared" ref="B36:G36" si="4">SUM(B34:B35)</f>
        <v>26</v>
      </c>
      <c r="C36" s="11">
        <f t="shared" si="4"/>
        <v>25</v>
      </c>
      <c r="D36" s="11">
        <f t="shared" si="4"/>
        <v>19</v>
      </c>
      <c r="E36" s="11">
        <f t="shared" si="4"/>
        <v>10</v>
      </c>
      <c r="F36" s="11">
        <f t="shared" si="4"/>
        <v>11</v>
      </c>
      <c r="G36" s="11">
        <f t="shared" si="4"/>
        <v>2</v>
      </c>
      <c r="H36" s="11">
        <v>0</v>
      </c>
      <c r="I36" s="11">
        <f>SUM(I34:I35)</f>
        <v>1</v>
      </c>
      <c r="J36" s="11">
        <f>SUM(J34:J35)</f>
        <v>2</v>
      </c>
      <c r="K36" s="11">
        <f>SUM(K34:K35)</f>
        <v>1</v>
      </c>
      <c r="L36" s="11">
        <f>SUM(L34:L35)</f>
        <v>0</v>
      </c>
      <c r="M36" s="11">
        <f>SUM(M34:M35)</f>
        <v>0</v>
      </c>
      <c r="N36" s="11">
        <f>SUM(B36:M36)</f>
        <v>97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25</v>
      </c>
      <c r="D38" s="18">
        <f t="shared" si="5"/>
        <v>19</v>
      </c>
      <c r="E38" s="18">
        <f t="shared" si="5"/>
        <v>10</v>
      </c>
      <c r="F38" s="18">
        <f t="shared" si="5"/>
        <v>11</v>
      </c>
      <c r="G38" s="18">
        <f t="shared" si="5"/>
        <v>2</v>
      </c>
      <c r="H38" s="18">
        <f t="shared" si="5"/>
        <v>0</v>
      </c>
      <c r="I38" s="18">
        <f t="shared" si="5"/>
        <v>1</v>
      </c>
      <c r="J38" s="18">
        <f t="shared" si="5"/>
        <v>2</v>
      </c>
      <c r="K38" s="18">
        <f t="shared" si="5"/>
        <v>2</v>
      </c>
      <c r="L38" s="18">
        <f t="shared" si="5"/>
        <v>0</v>
      </c>
      <c r="M38" s="18">
        <f t="shared" si="5"/>
        <v>0</v>
      </c>
      <c r="N38" s="19">
        <f>SUM(B38:M38)</f>
        <v>72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43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14</v>
      </c>
      <c r="C44" s="3">
        <v>12</v>
      </c>
      <c r="D44" s="3">
        <v>6</v>
      </c>
      <c r="E44" s="3">
        <v>2</v>
      </c>
      <c r="F44" s="3">
        <v>8</v>
      </c>
      <c r="G44" s="3">
        <v>2</v>
      </c>
      <c r="H44" s="3">
        <v>1</v>
      </c>
      <c r="I44" s="3">
        <v>1</v>
      </c>
      <c r="J44" s="3">
        <v>4</v>
      </c>
      <c r="K44" s="3">
        <v>1</v>
      </c>
      <c r="L44" s="3">
        <v>0</v>
      </c>
      <c r="M44" s="3">
        <v>0</v>
      </c>
      <c r="N44" s="20">
        <f>SUM(B44:M44)</f>
        <v>51</v>
      </c>
    </row>
    <row r="45" spans="1:14" ht="32.25" customHeight="1" x14ac:dyDescent="0.25">
      <c r="A45" s="4" t="str">
        <f>'7-8AM'!A45</f>
        <v>Kitale Bound</v>
      </c>
      <c r="B45" s="3">
        <v>11</v>
      </c>
      <c r="C45" s="3">
        <v>13</v>
      </c>
      <c r="D45" s="3">
        <v>7</v>
      </c>
      <c r="E45" s="3">
        <v>6</v>
      </c>
      <c r="F45" s="3">
        <v>7</v>
      </c>
      <c r="G45" s="3">
        <v>4</v>
      </c>
      <c r="H45" s="3">
        <v>0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20">
        <f>SUM(B45:M45)</f>
        <v>50</v>
      </c>
    </row>
    <row r="46" spans="1:14" ht="27.75" customHeight="1" x14ac:dyDescent="0.25">
      <c r="A46" s="10" t="s">
        <v>19</v>
      </c>
      <c r="B46" s="11">
        <f t="shared" ref="B46:M46" si="6">SUM(B44:B45)</f>
        <v>25</v>
      </c>
      <c r="C46" s="11">
        <f t="shared" si="6"/>
        <v>25</v>
      </c>
      <c r="D46" s="11">
        <f t="shared" si="6"/>
        <v>13</v>
      </c>
      <c r="E46" s="11">
        <f t="shared" si="6"/>
        <v>8</v>
      </c>
      <c r="F46" s="11">
        <f t="shared" si="6"/>
        <v>15</v>
      </c>
      <c r="G46" s="11">
        <f t="shared" si="6"/>
        <v>6</v>
      </c>
      <c r="H46" s="11">
        <f t="shared" si="6"/>
        <v>1</v>
      </c>
      <c r="I46" s="11">
        <f t="shared" si="6"/>
        <v>2</v>
      </c>
      <c r="J46" s="11">
        <f t="shared" si="6"/>
        <v>5</v>
      </c>
      <c r="K46" s="11">
        <f t="shared" si="6"/>
        <v>1</v>
      </c>
      <c r="L46" s="11">
        <f t="shared" si="6"/>
        <v>0</v>
      </c>
      <c r="M46" s="11">
        <f t="shared" si="6"/>
        <v>0</v>
      </c>
      <c r="N46" s="11">
        <f>SUM(B46:M46)</f>
        <v>101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25</v>
      </c>
      <c r="D48" s="18">
        <f t="shared" si="7"/>
        <v>13</v>
      </c>
      <c r="E48" s="18">
        <f t="shared" si="7"/>
        <v>8</v>
      </c>
      <c r="F48" s="18">
        <f t="shared" si="7"/>
        <v>15</v>
      </c>
      <c r="G48" s="18">
        <f t="shared" si="7"/>
        <v>6</v>
      </c>
      <c r="H48" s="18">
        <f t="shared" si="7"/>
        <v>2</v>
      </c>
      <c r="I48" s="18">
        <f t="shared" si="7"/>
        <v>2</v>
      </c>
      <c r="J48" s="18">
        <f t="shared" si="7"/>
        <v>5</v>
      </c>
      <c r="K48" s="18">
        <f t="shared" si="7"/>
        <v>2</v>
      </c>
      <c r="L48" s="18">
        <f t="shared" si="7"/>
        <v>0</v>
      </c>
      <c r="M48" s="18">
        <f t="shared" si="7"/>
        <v>0</v>
      </c>
      <c r="N48" s="19">
        <f>SUM(B48:M48)</f>
        <v>78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44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53</v>
      </c>
      <c r="C56" s="3">
        <f t="shared" si="8"/>
        <v>42</v>
      </c>
      <c r="D56" s="3">
        <f t="shared" si="8"/>
        <v>37</v>
      </c>
      <c r="E56" s="3">
        <f t="shared" si="8"/>
        <v>20</v>
      </c>
      <c r="F56" s="3">
        <f t="shared" si="8"/>
        <v>28</v>
      </c>
      <c r="G56" s="3">
        <f t="shared" si="8"/>
        <v>4</v>
      </c>
      <c r="H56" s="3">
        <f t="shared" si="8"/>
        <v>3</v>
      </c>
      <c r="I56" s="3">
        <f t="shared" si="8"/>
        <v>2</v>
      </c>
      <c r="J56" s="3">
        <f t="shared" si="8"/>
        <v>8</v>
      </c>
      <c r="K56" s="3">
        <f t="shared" si="8"/>
        <v>3</v>
      </c>
      <c r="L56" s="3">
        <f t="shared" si="8"/>
        <v>0</v>
      </c>
      <c r="M56" s="3">
        <f t="shared" si="8"/>
        <v>0</v>
      </c>
      <c r="N56" s="20">
        <f>SUM(B56:M56)</f>
        <v>200</v>
      </c>
    </row>
    <row r="57" spans="1:14" ht="26.25" customHeight="1" x14ac:dyDescent="0.25">
      <c r="A57" s="4" t="str">
        <f>'7-8AM'!A57</f>
        <v>Kitale Bound</v>
      </c>
      <c r="B57" s="3">
        <f t="shared" ref="B57:M57" si="9">(B15+B25+B35+B45)</f>
        <v>55</v>
      </c>
      <c r="C57" s="3">
        <f t="shared" si="9"/>
        <v>49</v>
      </c>
      <c r="D57" s="3">
        <f t="shared" si="9"/>
        <v>30</v>
      </c>
      <c r="E57" s="3">
        <f t="shared" si="9"/>
        <v>25</v>
      </c>
      <c r="F57" s="3">
        <f t="shared" si="9"/>
        <v>23</v>
      </c>
      <c r="G57" s="3">
        <f t="shared" si="9"/>
        <v>6</v>
      </c>
      <c r="H57" s="3">
        <f t="shared" si="9"/>
        <v>1</v>
      </c>
      <c r="I57" s="3">
        <f t="shared" si="9"/>
        <v>3</v>
      </c>
      <c r="J57" s="3">
        <f t="shared" si="9"/>
        <v>4</v>
      </c>
      <c r="K57" s="3">
        <f t="shared" si="9"/>
        <v>1</v>
      </c>
      <c r="L57" s="3">
        <f t="shared" si="9"/>
        <v>1</v>
      </c>
      <c r="M57" s="3">
        <f t="shared" si="9"/>
        <v>0</v>
      </c>
      <c r="N57" s="20">
        <f>SUM(B57:M57)</f>
        <v>198</v>
      </c>
    </row>
    <row r="58" spans="1:14" ht="27.75" customHeight="1" x14ac:dyDescent="0.25">
      <c r="A58" s="10" t="s">
        <v>19</v>
      </c>
      <c r="B58" s="11">
        <f t="shared" ref="B58:M58" si="10">SUM(B56:B57)</f>
        <v>108</v>
      </c>
      <c r="C58" s="11">
        <f t="shared" si="10"/>
        <v>91</v>
      </c>
      <c r="D58" s="11">
        <f t="shared" si="10"/>
        <v>67</v>
      </c>
      <c r="E58" s="11">
        <f t="shared" si="10"/>
        <v>45</v>
      </c>
      <c r="F58" s="11">
        <f t="shared" si="10"/>
        <v>51</v>
      </c>
      <c r="G58" s="11">
        <f t="shared" si="10"/>
        <v>10</v>
      </c>
      <c r="H58" s="11">
        <f t="shared" si="10"/>
        <v>4</v>
      </c>
      <c r="I58" s="11">
        <f t="shared" si="10"/>
        <v>5</v>
      </c>
      <c r="J58" s="11">
        <f t="shared" si="10"/>
        <v>12</v>
      </c>
      <c r="K58" s="11">
        <f t="shared" si="10"/>
        <v>4</v>
      </c>
      <c r="L58" s="11">
        <f t="shared" si="10"/>
        <v>1</v>
      </c>
      <c r="M58" s="11">
        <f t="shared" si="10"/>
        <v>0</v>
      </c>
      <c r="N58" s="11">
        <f>SUM(B58:M58)</f>
        <v>398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91</v>
      </c>
      <c r="D60" s="18">
        <f t="shared" si="11"/>
        <v>67</v>
      </c>
      <c r="E60" s="18">
        <f t="shared" si="11"/>
        <v>45</v>
      </c>
      <c r="F60" s="18">
        <f t="shared" si="11"/>
        <v>51</v>
      </c>
      <c r="G60" s="18">
        <f t="shared" si="11"/>
        <v>10</v>
      </c>
      <c r="H60" s="18">
        <f t="shared" si="11"/>
        <v>8</v>
      </c>
      <c r="I60" s="18">
        <f t="shared" si="11"/>
        <v>5</v>
      </c>
      <c r="J60" s="18">
        <f t="shared" si="11"/>
        <v>12</v>
      </c>
      <c r="K60" s="18">
        <f t="shared" si="11"/>
        <v>8</v>
      </c>
      <c r="L60" s="18">
        <f t="shared" si="11"/>
        <v>2</v>
      </c>
      <c r="M60" s="18">
        <f t="shared" si="11"/>
        <v>0</v>
      </c>
      <c r="N60" s="19">
        <f>SUM(B60:M60)</f>
        <v>299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9"/>
  <sheetViews>
    <sheetView topLeftCell="A10" workbookViewId="0">
      <selection activeCell="B15" sqref="B1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46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15</v>
      </c>
      <c r="C14" s="3">
        <v>14</v>
      </c>
      <c r="D14" s="3">
        <v>17</v>
      </c>
      <c r="E14" s="3">
        <v>8</v>
      </c>
      <c r="F14" s="3">
        <v>6</v>
      </c>
      <c r="G14" s="3">
        <v>1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20">
        <f>SUM(B14:M14)</f>
        <v>62</v>
      </c>
    </row>
    <row r="15" spans="1:14" x14ac:dyDescent="0.25">
      <c r="A15" s="4" t="str">
        <f>'7-8AM'!A15</f>
        <v>Kitale Bound</v>
      </c>
      <c r="B15" s="3">
        <v>12</v>
      </c>
      <c r="C15" s="3">
        <v>15</v>
      </c>
      <c r="D15" s="3">
        <v>7</v>
      </c>
      <c r="E15" s="3">
        <v>2</v>
      </c>
      <c r="F15" s="3">
        <v>8</v>
      </c>
      <c r="G15" s="3">
        <v>0</v>
      </c>
      <c r="H15" s="3">
        <v>2</v>
      </c>
      <c r="I15" s="3">
        <v>2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49</v>
      </c>
    </row>
    <row r="16" spans="1:14" ht="27" customHeight="1" x14ac:dyDescent="0.25">
      <c r="A16" s="10" t="s">
        <v>19</v>
      </c>
      <c r="B16" s="11">
        <f t="shared" ref="B16:M16" si="0">SUM(B14:B15)</f>
        <v>27</v>
      </c>
      <c r="C16" s="11">
        <f t="shared" si="0"/>
        <v>29</v>
      </c>
      <c r="D16" s="11">
        <f t="shared" si="0"/>
        <v>24</v>
      </c>
      <c r="E16" s="11">
        <f t="shared" si="0"/>
        <v>10</v>
      </c>
      <c r="F16" s="11">
        <f t="shared" si="0"/>
        <v>14</v>
      </c>
      <c r="G16" s="11">
        <f t="shared" si="0"/>
        <v>1</v>
      </c>
      <c r="H16" s="11">
        <f t="shared" si="0"/>
        <v>2</v>
      </c>
      <c r="I16" s="11">
        <f t="shared" si="0"/>
        <v>2</v>
      </c>
      <c r="J16" s="11">
        <f t="shared" si="0"/>
        <v>1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111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29</v>
      </c>
      <c r="D18" s="18">
        <f t="shared" si="1"/>
        <v>24</v>
      </c>
      <c r="E18" s="18">
        <f t="shared" si="1"/>
        <v>10</v>
      </c>
      <c r="F18" s="18">
        <f t="shared" si="1"/>
        <v>14</v>
      </c>
      <c r="G18" s="18">
        <f t="shared" si="1"/>
        <v>1</v>
      </c>
      <c r="H18" s="18">
        <f t="shared" si="1"/>
        <v>4</v>
      </c>
      <c r="I18" s="18">
        <f t="shared" si="1"/>
        <v>2</v>
      </c>
      <c r="J18" s="18">
        <f t="shared" si="1"/>
        <v>1</v>
      </c>
      <c r="K18" s="18">
        <f t="shared" si="1"/>
        <v>2</v>
      </c>
      <c r="L18" s="18">
        <f t="shared" si="1"/>
        <v>0</v>
      </c>
      <c r="M18" s="18">
        <f t="shared" si="1"/>
        <v>0</v>
      </c>
      <c r="N18" s="19">
        <f>SUM(B18:M18)</f>
        <v>87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47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15</v>
      </c>
      <c r="C24" s="3">
        <v>15</v>
      </c>
      <c r="D24" s="3">
        <v>7</v>
      </c>
      <c r="E24" s="3">
        <v>5</v>
      </c>
      <c r="F24" s="3">
        <v>2</v>
      </c>
      <c r="G24" s="3">
        <v>2</v>
      </c>
      <c r="H24" s="3">
        <v>0</v>
      </c>
      <c r="I24" s="3">
        <v>1</v>
      </c>
      <c r="J24" s="3">
        <v>2</v>
      </c>
      <c r="K24" s="3">
        <v>0</v>
      </c>
      <c r="L24" s="3">
        <v>0</v>
      </c>
      <c r="M24" s="3">
        <v>0</v>
      </c>
      <c r="N24" s="20">
        <f>SUM(B24:M24)</f>
        <v>49</v>
      </c>
    </row>
    <row r="25" spans="1:14" ht="27" customHeight="1" x14ac:dyDescent="0.25">
      <c r="A25" s="4" t="str">
        <f>'7-8AM'!A25</f>
        <v>Kitale Bound</v>
      </c>
      <c r="B25" s="3">
        <v>16</v>
      </c>
      <c r="C25" s="3">
        <v>20</v>
      </c>
      <c r="D25" s="3">
        <v>9</v>
      </c>
      <c r="E25" s="3">
        <v>4</v>
      </c>
      <c r="F25" s="3">
        <v>6</v>
      </c>
      <c r="G25" s="3">
        <v>0</v>
      </c>
      <c r="H25" s="3">
        <v>0</v>
      </c>
      <c r="I25" s="3">
        <v>0</v>
      </c>
      <c r="J25" s="3">
        <v>1</v>
      </c>
      <c r="K25" s="3">
        <v>1</v>
      </c>
      <c r="L25" s="3">
        <v>1</v>
      </c>
      <c r="M25" s="3">
        <v>0</v>
      </c>
      <c r="N25" s="20">
        <f>SUM(B25:M25)</f>
        <v>58</v>
      </c>
    </row>
    <row r="26" spans="1:14" ht="27" customHeight="1" x14ac:dyDescent="0.25">
      <c r="A26" s="10" t="s">
        <v>19</v>
      </c>
      <c r="B26" s="11">
        <f t="shared" ref="B26:M26" si="2">SUM(B24:B25)</f>
        <v>31</v>
      </c>
      <c r="C26" s="11">
        <f t="shared" si="2"/>
        <v>35</v>
      </c>
      <c r="D26" s="11">
        <f t="shared" si="2"/>
        <v>16</v>
      </c>
      <c r="E26" s="11">
        <f t="shared" si="2"/>
        <v>9</v>
      </c>
      <c r="F26" s="11">
        <f t="shared" si="2"/>
        <v>8</v>
      </c>
      <c r="G26" s="11">
        <f t="shared" si="2"/>
        <v>2</v>
      </c>
      <c r="H26" s="11">
        <f t="shared" si="2"/>
        <v>0</v>
      </c>
      <c r="I26" s="11">
        <f t="shared" si="2"/>
        <v>1</v>
      </c>
      <c r="J26" s="11">
        <f t="shared" si="2"/>
        <v>3</v>
      </c>
      <c r="K26" s="11">
        <f t="shared" si="2"/>
        <v>1</v>
      </c>
      <c r="L26" s="11">
        <f t="shared" si="2"/>
        <v>1</v>
      </c>
      <c r="M26" s="11">
        <f t="shared" si="2"/>
        <v>0</v>
      </c>
      <c r="N26" s="11">
        <f>SUM(B26:M26)</f>
        <v>107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35</v>
      </c>
      <c r="D28" s="18">
        <f t="shared" si="3"/>
        <v>16</v>
      </c>
      <c r="E28" s="18">
        <f t="shared" si="3"/>
        <v>9</v>
      </c>
      <c r="F28" s="18">
        <f t="shared" si="3"/>
        <v>8</v>
      </c>
      <c r="G28" s="18">
        <f t="shared" si="3"/>
        <v>2</v>
      </c>
      <c r="H28" s="18">
        <f t="shared" si="3"/>
        <v>0</v>
      </c>
      <c r="I28" s="18">
        <f t="shared" si="3"/>
        <v>1</v>
      </c>
      <c r="J28" s="18">
        <f t="shared" si="3"/>
        <v>3</v>
      </c>
      <c r="K28" s="18">
        <f t="shared" si="3"/>
        <v>2</v>
      </c>
      <c r="L28" s="18">
        <f t="shared" si="3"/>
        <v>2</v>
      </c>
      <c r="M28" s="18">
        <f t="shared" si="3"/>
        <v>0</v>
      </c>
      <c r="N28" s="19">
        <f>SUM(B28:M28)</f>
        <v>78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48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9.25" customHeight="1" x14ac:dyDescent="0.25">
      <c r="A34" s="4" t="str">
        <f>'7-8AM'!A34</f>
        <v>Maili Tisa Bound</v>
      </c>
      <c r="B34" s="3">
        <v>20</v>
      </c>
      <c r="C34" s="3">
        <v>23</v>
      </c>
      <c r="D34" s="3">
        <v>13</v>
      </c>
      <c r="E34" s="3">
        <v>7</v>
      </c>
      <c r="F34" s="3">
        <v>8</v>
      </c>
      <c r="G34" s="3">
        <v>0</v>
      </c>
      <c r="H34" s="3">
        <v>0</v>
      </c>
      <c r="I34" s="3">
        <v>4</v>
      </c>
      <c r="J34" s="3">
        <v>9</v>
      </c>
      <c r="K34" s="3">
        <v>3</v>
      </c>
      <c r="L34" s="3">
        <v>1</v>
      </c>
      <c r="M34" s="3">
        <v>1</v>
      </c>
      <c r="N34" s="20">
        <f>SUM(B34:M34)</f>
        <v>89</v>
      </c>
    </row>
    <row r="35" spans="1:14" ht="28.5" customHeight="1" x14ac:dyDescent="0.25">
      <c r="A35" s="4" t="str">
        <f>'7-8AM'!A35</f>
        <v>Kitale Bound</v>
      </c>
      <c r="B35" s="3">
        <v>12</v>
      </c>
      <c r="C35" s="3">
        <v>14</v>
      </c>
      <c r="D35" s="3">
        <v>4</v>
      </c>
      <c r="E35" s="3">
        <v>6</v>
      </c>
      <c r="F35" s="3">
        <v>6</v>
      </c>
      <c r="G35" s="3">
        <v>0</v>
      </c>
      <c r="H35" s="3">
        <v>1</v>
      </c>
      <c r="I35" s="3">
        <v>0</v>
      </c>
      <c r="J35" s="3">
        <v>2</v>
      </c>
      <c r="K35" s="3">
        <v>1</v>
      </c>
      <c r="L35" s="3">
        <v>0</v>
      </c>
      <c r="M35" s="3">
        <v>0</v>
      </c>
      <c r="N35" s="20">
        <f>SUM(B35:M35)</f>
        <v>46</v>
      </c>
    </row>
    <row r="36" spans="1:14" ht="45" customHeight="1" x14ac:dyDescent="0.25">
      <c r="A36" s="10" t="s">
        <v>19</v>
      </c>
      <c r="B36" s="11">
        <f t="shared" ref="B36:M36" si="4">SUM(B34:B35)</f>
        <v>32</v>
      </c>
      <c r="C36" s="11">
        <f t="shared" si="4"/>
        <v>37</v>
      </c>
      <c r="D36" s="11">
        <f t="shared" si="4"/>
        <v>17</v>
      </c>
      <c r="E36" s="11">
        <f t="shared" si="4"/>
        <v>13</v>
      </c>
      <c r="F36" s="11">
        <f t="shared" si="4"/>
        <v>14</v>
      </c>
      <c r="G36" s="11">
        <f t="shared" si="4"/>
        <v>0</v>
      </c>
      <c r="H36" s="11">
        <f t="shared" si="4"/>
        <v>1</v>
      </c>
      <c r="I36" s="11">
        <f t="shared" si="4"/>
        <v>4</v>
      </c>
      <c r="J36" s="11">
        <f t="shared" si="4"/>
        <v>11</v>
      </c>
      <c r="K36" s="11">
        <f t="shared" si="4"/>
        <v>4</v>
      </c>
      <c r="L36" s="11">
        <f t="shared" si="4"/>
        <v>1</v>
      </c>
      <c r="M36" s="11">
        <f t="shared" si="4"/>
        <v>1</v>
      </c>
      <c r="N36" s="11">
        <f>SUM(B36:M36)</f>
        <v>135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37</v>
      </c>
      <c r="D38" s="18">
        <f t="shared" si="5"/>
        <v>17</v>
      </c>
      <c r="E38" s="18">
        <f t="shared" si="5"/>
        <v>13</v>
      </c>
      <c r="F38" s="18">
        <f t="shared" si="5"/>
        <v>14</v>
      </c>
      <c r="G38" s="18">
        <f t="shared" si="5"/>
        <v>0</v>
      </c>
      <c r="H38" s="18">
        <f t="shared" si="5"/>
        <v>2</v>
      </c>
      <c r="I38" s="18">
        <f t="shared" si="5"/>
        <v>4</v>
      </c>
      <c r="J38" s="18">
        <f t="shared" si="5"/>
        <v>11</v>
      </c>
      <c r="K38" s="18">
        <f t="shared" si="5"/>
        <v>8</v>
      </c>
      <c r="L38" s="18">
        <f t="shared" si="5"/>
        <v>2</v>
      </c>
      <c r="M38" s="18">
        <f t="shared" si="5"/>
        <v>1</v>
      </c>
      <c r="N38" s="19">
        <f>SUM(B38:M38)</f>
        <v>109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49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16</v>
      </c>
      <c r="C44" s="3">
        <v>9</v>
      </c>
      <c r="D44" s="3">
        <v>5</v>
      </c>
      <c r="E44" s="3">
        <v>3</v>
      </c>
      <c r="F44" s="3">
        <v>4</v>
      </c>
      <c r="G44" s="3">
        <v>1</v>
      </c>
      <c r="H44" s="3">
        <v>0</v>
      </c>
      <c r="I44" s="3">
        <v>0</v>
      </c>
      <c r="J44" s="3">
        <v>1</v>
      </c>
      <c r="K44" s="3">
        <v>4</v>
      </c>
      <c r="L44" s="3">
        <v>0</v>
      </c>
      <c r="M44" s="3">
        <v>0</v>
      </c>
      <c r="N44" s="20">
        <f>SUM(B44:M44)</f>
        <v>43</v>
      </c>
    </row>
    <row r="45" spans="1:14" ht="32.25" customHeight="1" x14ac:dyDescent="0.25">
      <c r="A45" s="4" t="str">
        <f>'7-8AM'!A45</f>
        <v>Kitale Bound</v>
      </c>
      <c r="B45" s="3">
        <v>9</v>
      </c>
      <c r="C45" s="3">
        <v>9</v>
      </c>
      <c r="D45" s="3">
        <v>12</v>
      </c>
      <c r="E45" s="3">
        <v>6</v>
      </c>
      <c r="F45" s="3">
        <v>8</v>
      </c>
      <c r="G45" s="3">
        <v>3</v>
      </c>
      <c r="H45" s="3">
        <v>2</v>
      </c>
      <c r="I45" s="3">
        <v>1</v>
      </c>
      <c r="J45" s="3">
        <v>1</v>
      </c>
      <c r="K45" s="3">
        <v>1</v>
      </c>
      <c r="L45" s="3">
        <v>0</v>
      </c>
      <c r="M45" s="3">
        <v>0</v>
      </c>
      <c r="N45" s="20">
        <f>SUM(B45:M45)</f>
        <v>52</v>
      </c>
    </row>
    <row r="46" spans="1:14" ht="27.75" customHeight="1" x14ac:dyDescent="0.25">
      <c r="A46" s="10" t="s">
        <v>19</v>
      </c>
      <c r="B46" s="11">
        <f>SUM(B44:B45)</f>
        <v>25</v>
      </c>
      <c r="C46" s="11">
        <v>4</v>
      </c>
      <c r="D46" s="11">
        <v>1</v>
      </c>
      <c r="E46" s="11">
        <f t="shared" ref="E46:M46" si="6">SUM(E44:E45)</f>
        <v>9</v>
      </c>
      <c r="F46" s="11">
        <f t="shared" si="6"/>
        <v>12</v>
      </c>
      <c r="G46" s="11">
        <f t="shared" si="6"/>
        <v>4</v>
      </c>
      <c r="H46" s="11">
        <f t="shared" si="6"/>
        <v>2</v>
      </c>
      <c r="I46" s="11">
        <f t="shared" si="6"/>
        <v>1</v>
      </c>
      <c r="J46" s="11">
        <f t="shared" si="6"/>
        <v>2</v>
      </c>
      <c r="K46" s="11">
        <f t="shared" si="6"/>
        <v>5</v>
      </c>
      <c r="L46" s="11">
        <f t="shared" si="6"/>
        <v>0</v>
      </c>
      <c r="M46" s="11">
        <f t="shared" si="6"/>
        <v>0</v>
      </c>
      <c r="N46" s="11">
        <f>SUM(B46:M46)</f>
        <v>65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4</v>
      </c>
      <c r="D48" s="18">
        <f t="shared" si="7"/>
        <v>1</v>
      </c>
      <c r="E48" s="18">
        <f t="shared" si="7"/>
        <v>9</v>
      </c>
      <c r="F48" s="18">
        <f t="shared" si="7"/>
        <v>12</v>
      </c>
      <c r="G48" s="18">
        <f t="shared" si="7"/>
        <v>4</v>
      </c>
      <c r="H48" s="18">
        <f t="shared" si="7"/>
        <v>4</v>
      </c>
      <c r="I48" s="18">
        <f t="shared" si="7"/>
        <v>1</v>
      </c>
      <c r="J48" s="18">
        <f t="shared" si="7"/>
        <v>2</v>
      </c>
      <c r="K48" s="18">
        <f t="shared" si="7"/>
        <v>10</v>
      </c>
      <c r="L48" s="18">
        <f t="shared" si="7"/>
        <v>0</v>
      </c>
      <c r="M48" s="18">
        <f t="shared" si="7"/>
        <v>0</v>
      </c>
      <c r="N48" s="19">
        <f>SUM(B48:M48)</f>
        <v>47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50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66</v>
      </c>
      <c r="C56" s="3">
        <f t="shared" si="8"/>
        <v>61</v>
      </c>
      <c r="D56" s="3">
        <f t="shared" si="8"/>
        <v>42</v>
      </c>
      <c r="E56" s="3">
        <f t="shared" si="8"/>
        <v>23</v>
      </c>
      <c r="F56" s="3">
        <f t="shared" si="8"/>
        <v>20</v>
      </c>
      <c r="G56" s="3">
        <f t="shared" si="8"/>
        <v>4</v>
      </c>
      <c r="H56" s="3">
        <f t="shared" si="8"/>
        <v>0</v>
      </c>
      <c r="I56" s="3">
        <f t="shared" si="8"/>
        <v>5</v>
      </c>
      <c r="J56" s="3">
        <f t="shared" si="8"/>
        <v>12</v>
      </c>
      <c r="K56" s="3">
        <f t="shared" si="8"/>
        <v>8</v>
      </c>
      <c r="L56" s="3">
        <f t="shared" si="8"/>
        <v>1</v>
      </c>
      <c r="M56" s="3">
        <f t="shared" si="8"/>
        <v>1</v>
      </c>
      <c r="N56" s="20">
        <f>SUM(B56:M56)</f>
        <v>243</v>
      </c>
    </row>
    <row r="57" spans="1:14" ht="33.75" customHeight="1" x14ac:dyDescent="0.25">
      <c r="A57" s="4" t="str">
        <f>'7-8AM'!A57</f>
        <v>Kitale Bound</v>
      </c>
      <c r="B57" s="3">
        <f t="shared" ref="B57:M57" si="9">(B15+B25+B35+B45)</f>
        <v>49</v>
      </c>
      <c r="C57" s="3">
        <f t="shared" si="9"/>
        <v>58</v>
      </c>
      <c r="D57" s="3">
        <f t="shared" si="9"/>
        <v>32</v>
      </c>
      <c r="E57" s="3">
        <f t="shared" si="9"/>
        <v>18</v>
      </c>
      <c r="F57" s="3">
        <f t="shared" si="9"/>
        <v>28</v>
      </c>
      <c r="G57" s="3">
        <f t="shared" si="9"/>
        <v>3</v>
      </c>
      <c r="H57" s="3">
        <f t="shared" si="9"/>
        <v>5</v>
      </c>
      <c r="I57" s="3">
        <f t="shared" si="9"/>
        <v>3</v>
      </c>
      <c r="J57" s="3">
        <f t="shared" si="9"/>
        <v>5</v>
      </c>
      <c r="K57" s="3">
        <f t="shared" si="9"/>
        <v>3</v>
      </c>
      <c r="L57" s="3">
        <f t="shared" si="9"/>
        <v>1</v>
      </c>
      <c r="M57" s="3">
        <f t="shared" si="9"/>
        <v>0</v>
      </c>
      <c r="N57" s="20">
        <f>SUM(B57:M57)</f>
        <v>205</v>
      </c>
    </row>
    <row r="58" spans="1:14" ht="27.75" customHeight="1" x14ac:dyDescent="0.25">
      <c r="A58" s="10" t="s">
        <v>19</v>
      </c>
      <c r="B58" s="11">
        <f t="shared" ref="B58:M58" si="10">SUM(B56:B57)</f>
        <v>115</v>
      </c>
      <c r="C58" s="11">
        <f t="shared" si="10"/>
        <v>119</v>
      </c>
      <c r="D58" s="11">
        <f t="shared" si="10"/>
        <v>74</v>
      </c>
      <c r="E58" s="11">
        <f t="shared" si="10"/>
        <v>41</v>
      </c>
      <c r="F58" s="11">
        <f t="shared" si="10"/>
        <v>48</v>
      </c>
      <c r="G58" s="11">
        <f t="shared" si="10"/>
        <v>7</v>
      </c>
      <c r="H58" s="11">
        <f t="shared" si="10"/>
        <v>5</v>
      </c>
      <c r="I58" s="11">
        <f t="shared" si="10"/>
        <v>8</v>
      </c>
      <c r="J58" s="11">
        <f t="shared" si="10"/>
        <v>17</v>
      </c>
      <c r="K58" s="11">
        <f t="shared" si="10"/>
        <v>11</v>
      </c>
      <c r="L58" s="11">
        <f t="shared" si="10"/>
        <v>2</v>
      </c>
      <c r="M58" s="11">
        <f t="shared" si="10"/>
        <v>1</v>
      </c>
      <c r="N58" s="11">
        <f>SUM(B58:M58)</f>
        <v>448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119</v>
      </c>
      <c r="D60" s="18">
        <f t="shared" si="11"/>
        <v>74</v>
      </c>
      <c r="E60" s="18">
        <f t="shared" si="11"/>
        <v>41</v>
      </c>
      <c r="F60" s="18">
        <f t="shared" si="11"/>
        <v>48</v>
      </c>
      <c r="G60" s="18">
        <f t="shared" si="11"/>
        <v>7</v>
      </c>
      <c r="H60" s="18">
        <f t="shared" si="11"/>
        <v>10</v>
      </c>
      <c r="I60" s="18">
        <f t="shared" si="11"/>
        <v>8</v>
      </c>
      <c r="J60" s="18">
        <f t="shared" si="11"/>
        <v>17</v>
      </c>
      <c r="K60" s="18">
        <f t="shared" si="11"/>
        <v>22</v>
      </c>
      <c r="L60" s="18">
        <f t="shared" si="11"/>
        <v>4</v>
      </c>
      <c r="M60" s="18">
        <f t="shared" si="11"/>
        <v>1</v>
      </c>
      <c r="N60" s="19">
        <f>SUM(B60:M60)</f>
        <v>351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9"/>
  <sheetViews>
    <sheetView topLeftCell="A50" workbookViewId="0">
      <selection activeCell="B45" sqref="B4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51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52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14</v>
      </c>
      <c r="C14" s="3">
        <v>18</v>
      </c>
      <c r="D14" s="3">
        <v>14</v>
      </c>
      <c r="E14" s="3">
        <v>7</v>
      </c>
      <c r="F14" s="3">
        <v>6</v>
      </c>
      <c r="G14" s="3">
        <v>1</v>
      </c>
      <c r="H14" s="3">
        <v>1</v>
      </c>
      <c r="I14" s="3">
        <v>2</v>
      </c>
      <c r="J14" s="3">
        <v>1</v>
      </c>
      <c r="K14" s="3">
        <v>1</v>
      </c>
      <c r="L14" s="3">
        <v>1</v>
      </c>
      <c r="M14" s="3">
        <v>1</v>
      </c>
      <c r="N14" s="20">
        <f>SUM(B14:M14)</f>
        <v>67</v>
      </c>
    </row>
    <row r="15" spans="1:14" x14ac:dyDescent="0.25">
      <c r="A15" s="4" t="str">
        <f>'7-8AM'!A15</f>
        <v>Kitale Bound</v>
      </c>
      <c r="B15" s="3">
        <v>16</v>
      </c>
      <c r="C15" s="3">
        <v>14</v>
      </c>
      <c r="D15" s="3">
        <v>9</v>
      </c>
      <c r="E15" s="3">
        <v>4</v>
      </c>
      <c r="F15" s="3">
        <v>9</v>
      </c>
      <c r="G15" s="3">
        <v>0</v>
      </c>
      <c r="H15" s="3">
        <v>1</v>
      </c>
      <c r="I15" s="3">
        <v>1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57</v>
      </c>
    </row>
    <row r="16" spans="1:14" ht="27" customHeight="1" x14ac:dyDescent="0.25">
      <c r="A16" s="10" t="s">
        <v>19</v>
      </c>
      <c r="B16" s="11">
        <f t="shared" ref="B16:M16" si="0">SUM(B14:B15)</f>
        <v>30</v>
      </c>
      <c r="C16" s="11">
        <f t="shared" si="0"/>
        <v>32</v>
      </c>
      <c r="D16" s="11">
        <f t="shared" si="0"/>
        <v>23</v>
      </c>
      <c r="E16" s="11">
        <f t="shared" si="0"/>
        <v>11</v>
      </c>
      <c r="F16" s="11">
        <f t="shared" si="0"/>
        <v>15</v>
      </c>
      <c r="G16" s="11">
        <f t="shared" si="0"/>
        <v>1</v>
      </c>
      <c r="H16" s="11">
        <f t="shared" si="0"/>
        <v>2</v>
      </c>
      <c r="I16" s="11">
        <f t="shared" si="0"/>
        <v>3</v>
      </c>
      <c r="J16" s="11">
        <f t="shared" si="0"/>
        <v>4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>SUM(B16:M16)</f>
        <v>124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32</v>
      </c>
      <c r="D18" s="18">
        <f t="shared" si="1"/>
        <v>23</v>
      </c>
      <c r="E18" s="18">
        <f t="shared" si="1"/>
        <v>11</v>
      </c>
      <c r="F18" s="18">
        <f t="shared" si="1"/>
        <v>15</v>
      </c>
      <c r="G18" s="18">
        <f t="shared" si="1"/>
        <v>1</v>
      </c>
      <c r="H18" s="18">
        <f t="shared" si="1"/>
        <v>4</v>
      </c>
      <c r="I18" s="18">
        <f t="shared" si="1"/>
        <v>3</v>
      </c>
      <c r="J18" s="18">
        <f t="shared" si="1"/>
        <v>4</v>
      </c>
      <c r="K18" s="18">
        <f t="shared" si="1"/>
        <v>2</v>
      </c>
      <c r="L18" s="18">
        <f t="shared" si="1"/>
        <v>2</v>
      </c>
      <c r="M18" s="18">
        <f t="shared" si="1"/>
        <v>1</v>
      </c>
      <c r="N18" s="19">
        <f>SUM(B18:M18)</f>
        <v>98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53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x14ac:dyDescent="0.25">
      <c r="A24" s="4" t="str">
        <f>'7-8AM'!A24</f>
        <v>Maili Tisa Bound</v>
      </c>
      <c r="B24" s="3">
        <v>17</v>
      </c>
      <c r="C24" s="3">
        <v>12</v>
      </c>
      <c r="D24" s="3">
        <v>9</v>
      </c>
      <c r="E24" s="3">
        <v>2</v>
      </c>
      <c r="F24" s="3">
        <v>7</v>
      </c>
      <c r="G24" s="3">
        <v>0</v>
      </c>
      <c r="H24" s="3">
        <v>0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20">
        <f>SUM(B24:M24)</f>
        <v>50</v>
      </c>
    </row>
    <row r="25" spans="1:14" ht="28.5" customHeight="1" x14ac:dyDescent="0.25">
      <c r="A25" s="4" t="str">
        <f>'7-8AM'!A25</f>
        <v>Kitale Bound</v>
      </c>
      <c r="B25" s="3">
        <v>13</v>
      </c>
      <c r="C25" s="3">
        <v>14</v>
      </c>
      <c r="D25" s="3">
        <v>6</v>
      </c>
      <c r="E25" s="3">
        <v>5</v>
      </c>
      <c r="F25" s="3">
        <v>6</v>
      </c>
      <c r="G25" s="3">
        <v>1</v>
      </c>
      <c r="H25" s="3">
        <v>0</v>
      </c>
      <c r="I25" s="3">
        <v>1</v>
      </c>
      <c r="J25" s="3">
        <v>1</v>
      </c>
      <c r="K25" s="3">
        <v>1</v>
      </c>
      <c r="L25" s="3">
        <v>0</v>
      </c>
      <c r="M25" s="3">
        <v>0</v>
      </c>
      <c r="N25" s="20">
        <f>SUM(B25:M25)</f>
        <v>48</v>
      </c>
    </row>
    <row r="26" spans="1:14" ht="27" customHeight="1" x14ac:dyDescent="0.25">
      <c r="A26" s="10" t="s">
        <v>19</v>
      </c>
      <c r="B26" s="11">
        <f t="shared" ref="B26:M26" si="2">SUM(B24:B25)</f>
        <v>30</v>
      </c>
      <c r="C26" s="11">
        <f t="shared" si="2"/>
        <v>26</v>
      </c>
      <c r="D26" s="11">
        <f t="shared" si="2"/>
        <v>15</v>
      </c>
      <c r="E26" s="11">
        <f t="shared" si="2"/>
        <v>7</v>
      </c>
      <c r="F26" s="11">
        <f t="shared" si="2"/>
        <v>13</v>
      </c>
      <c r="G26" s="11">
        <f t="shared" si="2"/>
        <v>1</v>
      </c>
      <c r="H26" s="11">
        <f t="shared" si="2"/>
        <v>0</v>
      </c>
      <c r="I26" s="11">
        <f t="shared" si="2"/>
        <v>2</v>
      </c>
      <c r="J26" s="11">
        <f t="shared" si="2"/>
        <v>2</v>
      </c>
      <c r="K26" s="11">
        <f t="shared" si="2"/>
        <v>2</v>
      </c>
      <c r="L26" s="11">
        <f t="shared" si="2"/>
        <v>0</v>
      </c>
      <c r="M26" s="11">
        <f t="shared" si="2"/>
        <v>0</v>
      </c>
      <c r="N26" s="11">
        <f>SUM(B26:M26)</f>
        <v>98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26</v>
      </c>
      <c r="D28" s="18">
        <f t="shared" si="3"/>
        <v>15</v>
      </c>
      <c r="E28" s="18">
        <f t="shared" si="3"/>
        <v>7</v>
      </c>
      <c r="F28" s="18">
        <f t="shared" si="3"/>
        <v>13</v>
      </c>
      <c r="G28" s="18">
        <f t="shared" si="3"/>
        <v>1</v>
      </c>
      <c r="H28" s="18">
        <f t="shared" si="3"/>
        <v>0</v>
      </c>
      <c r="I28" s="18">
        <f t="shared" si="3"/>
        <v>2</v>
      </c>
      <c r="J28" s="18">
        <f t="shared" si="3"/>
        <v>2</v>
      </c>
      <c r="K28" s="18">
        <f t="shared" si="3"/>
        <v>4</v>
      </c>
      <c r="L28" s="18">
        <f t="shared" si="3"/>
        <v>0</v>
      </c>
      <c r="M28" s="18">
        <f t="shared" si="3"/>
        <v>0</v>
      </c>
      <c r="N28" s="19">
        <f>SUM(B28:M28)</f>
        <v>70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54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" customHeight="1" x14ac:dyDescent="0.25">
      <c r="A34" s="4" t="str">
        <f>'7-8AM'!A34</f>
        <v>Maili Tisa Bound</v>
      </c>
      <c r="B34" s="3">
        <v>18</v>
      </c>
      <c r="C34" s="3">
        <v>14</v>
      </c>
      <c r="D34" s="3">
        <v>3</v>
      </c>
      <c r="E34" s="3">
        <v>4</v>
      </c>
      <c r="F34" s="3">
        <v>7</v>
      </c>
      <c r="G34" s="3">
        <v>4</v>
      </c>
      <c r="H34" s="3">
        <v>1</v>
      </c>
      <c r="I34" s="3">
        <v>0</v>
      </c>
      <c r="J34" s="3">
        <v>2</v>
      </c>
      <c r="K34" s="3">
        <v>1</v>
      </c>
      <c r="L34" s="3">
        <v>0</v>
      </c>
      <c r="M34" s="3">
        <v>0</v>
      </c>
      <c r="N34" s="20">
        <f>SUM(B34:M34)</f>
        <v>54</v>
      </c>
    </row>
    <row r="35" spans="1:14" ht="29.25" customHeight="1" x14ac:dyDescent="0.25">
      <c r="A35" s="4" t="str">
        <f>'7-8AM'!A35</f>
        <v>Kitale Bound</v>
      </c>
      <c r="B35" s="3">
        <v>11</v>
      </c>
      <c r="C35" s="3">
        <v>16</v>
      </c>
      <c r="D35" s="3">
        <v>6</v>
      </c>
      <c r="E35" s="3">
        <v>4</v>
      </c>
      <c r="F35" s="3">
        <v>7</v>
      </c>
      <c r="G35" s="3">
        <v>0</v>
      </c>
      <c r="H35" s="3">
        <v>0</v>
      </c>
      <c r="I35" s="3">
        <v>0</v>
      </c>
      <c r="J35" s="3">
        <v>4</v>
      </c>
      <c r="K35" s="3">
        <v>0</v>
      </c>
      <c r="L35" s="3">
        <v>1</v>
      </c>
      <c r="M35" s="3">
        <v>0</v>
      </c>
      <c r="N35" s="20">
        <f>SUM(B35:M35)</f>
        <v>49</v>
      </c>
    </row>
    <row r="36" spans="1:14" ht="45" customHeight="1" x14ac:dyDescent="0.25">
      <c r="A36" s="10" t="s">
        <v>19</v>
      </c>
      <c r="B36" s="11">
        <v>12</v>
      </c>
      <c r="C36" s="11">
        <v>1</v>
      </c>
      <c r="D36" s="11">
        <v>4</v>
      </c>
      <c r="E36" s="11">
        <v>3</v>
      </c>
      <c r="F36" s="11">
        <v>0</v>
      </c>
      <c r="G36" s="11">
        <v>0</v>
      </c>
      <c r="H36" s="11">
        <f t="shared" ref="H36:M36" si="4">SUM(H34:H35)</f>
        <v>1</v>
      </c>
      <c r="I36" s="11">
        <f t="shared" si="4"/>
        <v>0</v>
      </c>
      <c r="J36" s="11">
        <f t="shared" si="4"/>
        <v>6</v>
      </c>
      <c r="K36" s="11">
        <f t="shared" si="4"/>
        <v>1</v>
      </c>
      <c r="L36" s="11">
        <f t="shared" si="4"/>
        <v>1</v>
      </c>
      <c r="M36" s="11">
        <f t="shared" si="4"/>
        <v>0</v>
      </c>
      <c r="N36" s="11">
        <f>SUM(B36:M36)</f>
        <v>29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1</v>
      </c>
      <c r="D38" s="18">
        <f t="shared" si="5"/>
        <v>4</v>
      </c>
      <c r="E38" s="18">
        <f t="shared" si="5"/>
        <v>3</v>
      </c>
      <c r="F38" s="18">
        <f t="shared" si="5"/>
        <v>0</v>
      </c>
      <c r="G38" s="18">
        <f t="shared" si="5"/>
        <v>0</v>
      </c>
      <c r="H38" s="18">
        <f t="shared" si="5"/>
        <v>2</v>
      </c>
      <c r="I38" s="18">
        <f t="shared" si="5"/>
        <v>0</v>
      </c>
      <c r="J38" s="18">
        <f t="shared" si="5"/>
        <v>6</v>
      </c>
      <c r="K38" s="18">
        <f t="shared" si="5"/>
        <v>2</v>
      </c>
      <c r="L38" s="18">
        <f t="shared" si="5"/>
        <v>2</v>
      </c>
      <c r="M38" s="18">
        <f t="shared" si="5"/>
        <v>0</v>
      </c>
      <c r="N38" s="19">
        <f>SUM(B38:M38)</f>
        <v>20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55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15</v>
      </c>
      <c r="C44" s="3">
        <v>14</v>
      </c>
      <c r="D44" s="3">
        <v>7</v>
      </c>
      <c r="E44" s="3">
        <v>4</v>
      </c>
      <c r="F44" s="3">
        <v>6</v>
      </c>
      <c r="G44" s="3">
        <v>0</v>
      </c>
      <c r="H44" s="3">
        <v>0</v>
      </c>
      <c r="I44" s="3">
        <v>1</v>
      </c>
      <c r="J44" s="3">
        <v>4</v>
      </c>
      <c r="K44" s="3">
        <v>1</v>
      </c>
      <c r="L44" s="3">
        <v>0</v>
      </c>
      <c r="M44" s="3">
        <v>0</v>
      </c>
      <c r="N44" s="20">
        <f>SUM(B44:M44)</f>
        <v>52</v>
      </c>
    </row>
    <row r="45" spans="1:14" ht="32.25" customHeight="1" x14ac:dyDescent="0.25">
      <c r="A45" s="4" t="str">
        <f>'7-8AM'!A45</f>
        <v>Kitale Bound</v>
      </c>
      <c r="B45" s="3">
        <v>9</v>
      </c>
      <c r="C45" s="3">
        <v>20</v>
      </c>
      <c r="D45" s="3">
        <v>13</v>
      </c>
      <c r="E45" s="3">
        <v>4</v>
      </c>
      <c r="F45" s="3">
        <v>9</v>
      </c>
      <c r="G45" s="3">
        <v>0</v>
      </c>
      <c r="H45" s="3">
        <v>3</v>
      </c>
      <c r="I45" s="3">
        <v>1</v>
      </c>
      <c r="J45" s="3">
        <v>3</v>
      </c>
      <c r="K45" s="3">
        <v>0</v>
      </c>
      <c r="L45" s="3">
        <v>1</v>
      </c>
      <c r="M45" s="3">
        <v>1</v>
      </c>
      <c r="N45" s="20">
        <f>SUM(B45:M45)</f>
        <v>64</v>
      </c>
    </row>
    <row r="46" spans="1:14" ht="27.75" customHeight="1" x14ac:dyDescent="0.25">
      <c r="A46" s="10" t="s">
        <v>19</v>
      </c>
      <c r="B46" s="11">
        <f t="shared" ref="B46:M46" si="6">SUM(B44:B45)</f>
        <v>24</v>
      </c>
      <c r="C46" s="11">
        <f t="shared" si="6"/>
        <v>34</v>
      </c>
      <c r="D46" s="11">
        <f t="shared" si="6"/>
        <v>20</v>
      </c>
      <c r="E46" s="11">
        <f t="shared" si="6"/>
        <v>8</v>
      </c>
      <c r="F46" s="11">
        <f t="shared" si="6"/>
        <v>15</v>
      </c>
      <c r="G46" s="11">
        <f t="shared" si="6"/>
        <v>0</v>
      </c>
      <c r="H46" s="11">
        <f t="shared" si="6"/>
        <v>3</v>
      </c>
      <c r="I46" s="11">
        <f t="shared" si="6"/>
        <v>2</v>
      </c>
      <c r="J46" s="11">
        <f t="shared" si="6"/>
        <v>7</v>
      </c>
      <c r="K46" s="11">
        <f t="shared" si="6"/>
        <v>1</v>
      </c>
      <c r="L46" s="11">
        <f t="shared" si="6"/>
        <v>1</v>
      </c>
      <c r="M46" s="11">
        <f t="shared" si="6"/>
        <v>1</v>
      </c>
      <c r="N46" s="11">
        <f>SUM(B46:M46)</f>
        <v>116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34</v>
      </c>
      <c r="D48" s="18">
        <f t="shared" si="7"/>
        <v>20</v>
      </c>
      <c r="E48" s="18">
        <f t="shared" si="7"/>
        <v>8</v>
      </c>
      <c r="F48" s="18">
        <f t="shared" si="7"/>
        <v>15</v>
      </c>
      <c r="G48" s="18">
        <f t="shared" si="7"/>
        <v>0</v>
      </c>
      <c r="H48" s="18">
        <f t="shared" si="7"/>
        <v>6</v>
      </c>
      <c r="I48" s="18">
        <f t="shared" si="7"/>
        <v>2</v>
      </c>
      <c r="J48" s="18">
        <f t="shared" si="7"/>
        <v>7</v>
      </c>
      <c r="K48" s="18">
        <f t="shared" si="7"/>
        <v>2</v>
      </c>
      <c r="L48" s="18">
        <f t="shared" si="7"/>
        <v>2</v>
      </c>
      <c r="M48" s="18">
        <f t="shared" si="7"/>
        <v>1</v>
      </c>
      <c r="N48" s="19">
        <f>SUM(B48:M48)</f>
        <v>97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56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64</v>
      </c>
      <c r="C56" s="3">
        <f t="shared" si="8"/>
        <v>58</v>
      </c>
      <c r="D56" s="3">
        <f t="shared" si="8"/>
        <v>33</v>
      </c>
      <c r="E56" s="3">
        <f t="shared" si="8"/>
        <v>17</v>
      </c>
      <c r="F56" s="3">
        <f t="shared" si="8"/>
        <v>26</v>
      </c>
      <c r="G56" s="3">
        <f t="shared" si="8"/>
        <v>5</v>
      </c>
      <c r="H56" s="3">
        <f t="shared" si="8"/>
        <v>2</v>
      </c>
      <c r="I56" s="3">
        <f t="shared" si="8"/>
        <v>4</v>
      </c>
      <c r="J56" s="3">
        <f t="shared" si="8"/>
        <v>8</v>
      </c>
      <c r="K56" s="3">
        <f t="shared" si="8"/>
        <v>4</v>
      </c>
      <c r="L56" s="3">
        <f t="shared" si="8"/>
        <v>1</v>
      </c>
      <c r="M56" s="3">
        <f t="shared" si="8"/>
        <v>1</v>
      </c>
      <c r="N56" s="20">
        <f>SUM(B56:M56)</f>
        <v>223</v>
      </c>
    </row>
    <row r="57" spans="1:14" x14ac:dyDescent="0.25">
      <c r="A57" s="4" t="str">
        <f>'7-8AM'!A57</f>
        <v>Kitale Bound</v>
      </c>
      <c r="B57" s="3">
        <f t="shared" ref="B57:M57" si="9">(B15+B25+B35+B45)</f>
        <v>49</v>
      </c>
      <c r="C57" s="3">
        <f t="shared" si="9"/>
        <v>64</v>
      </c>
      <c r="D57" s="3">
        <f t="shared" si="9"/>
        <v>34</v>
      </c>
      <c r="E57" s="3">
        <f t="shared" si="9"/>
        <v>17</v>
      </c>
      <c r="F57" s="3">
        <f t="shared" si="9"/>
        <v>31</v>
      </c>
      <c r="G57" s="3">
        <f t="shared" si="9"/>
        <v>1</v>
      </c>
      <c r="H57" s="3">
        <f t="shared" si="9"/>
        <v>4</v>
      </c>
      <c r="I57" s="3">
        <f t="shared" si="9"/>
        <v>3</v>
      </c>
      <c r="J57" s="3">
        <f t="shared" si="9"/>
        <v>11</v>
      </c>
      <c r="K57" s="3">
        <f t="shared" si="9"/>
        <v>1</v>
      </c>
      <c r="L57" s="3">
        <f t="shared" si="9"/>
        <v>2</v>
      </c>
      <c r="M57" s="3">
        <f t="shared" si="9"/>
        <v>1</v>
      </c>
      <c r="N57" s="20">
        <f>SUM(B57:M57)</f>
        <v>218</v>
      </c>
    </row>
    <row r="58" spans="1:14" ht="27.75" customHeight="1" x14ac:dyDescent="0.25">
      <c r="A58" s="10" t="s">
        <v>19</v>
      </c>
      <c r="B58" s="11">
        <f t="shared" ref="B58:M58" si="10">SUM(B56:B57)</f>
        <v>113</v>
      </c>
      <c r="C58" s="11">
        <f t="shared" si="10"/>
        <v>122</v>
      </c>
      <c r="D58" s="11">
        <f t="shared" si="10"/>
        <v>67</v>
      </c>
      <c r="E58" s="11">
        <f t="shared" si="10"/>
        <v>34</v>
      </c>
      <c r="F58" s="11">
        <f t="shared" si="10"/>
        <v>57</v>
      </c>
      <c r="G58" s="11">
        <f t="shared" si="10"/>
        <v>6</v>
      </c>
      <c r="H58" s="11">
        <f t="shared" si="10"/>
        <v>6</v>
      </c>
      <c r="I58" s="11">
        <f t="shared" si="10"/>
        <v>7</v>
      </c>
      <c r="J58" s="11">
        <f t="shared" si="10"/>
        <v>19</v>
      </c>
      <c r="K58" s="11">
        <f t="shared" si="10"/>
        <v>5</v>
      </c>
      <c r="L58" s="11">
        <f t="shared" si="10"/>
        <v>3</v>
      </c>
      <c r="M58" s="11">
        <f t="shared" si="10"/>
        <v>2</v>
      </c>
      <c r="N58" s="11">
        <f>SUM(B58:M58)</f>
        <v>441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122</v>
      </c>
      <c r="D60" s="18">
        <f t="shared" si="11"/>
        <v>67</v>
      </c>
      <c r="E60" s="18">
        <f t="shared" si="11"/>
        <v>34</v>
      </c>
      <c r="F60" s="18">
        <f t="shared" si="11"/>
        <v>57</v>
      </c>
      <c r="G60" s="18">
        <f t="shared" si="11"/>
        <v>6</v>
      </c>
      <c r="H60" s="18">
        <f t="shared" si="11"/>
        <v>12</v>
      </c>
      <c r="I60" s="18">
        <f t="shared" si="11"/>
        <v>7</v>
      </c>
      <c r="J60" s="18">
        <f t="shared" si="11"/>
        <v>19</v>
      </c>
      <c r="K60" s="18">
        <f t="shared" si="11"/>
        <v>10</v>
      </c>
      <c r="L60" s="18">
        <f t="shared" si="11"/>
        <v>6</v>
      </c>
      <c r="M60" s="18">
        <f t="shared" si="11"/>
        <v>2</v>
      </c>
      <c r="N60" s="19">
        <f>SUM(B60:M60)</f>
        <v>342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9"/>
  <sheetViews>
    <sheetView topLeftCell="A45" zoomScaleNormal="100" workbookViewId="0">
      <selection activeCell="B45" sqref="B4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58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8</v>
      </c>
      <c r="C14" s="3">
        <v>15</v>
      </c>
      <c r="D14" s="3">
        <v>9</v>
      </c>
      <c r="E14" s="3">
        <v>4</v>
      </c>
      <c r="F14" s="3">
        <v>8</v>
      </c>
      <c r="G14" s="3">
        <v>0</v>
      </c>
      <c r="H14" s="3">
        <v>0</v>
      </c>
      <c r="I14" s="3">
        <v>0</v>
      </c>
      <c r="J14" s="3">
        <v>4</v>
      </c>
      <c r="K14" s="3">
        <v>0</v>
      </c>
      <c r="L14" s="3">
        <v>0</v>
      </c>
      <c r="M14" s="3">
        <v>1</v>
      </c>
      <c r="N14" s="20">
        <f>SUM(B14:M14)</f>
        <v>49</v>
      </c>
    </row>
    <row r="15" spans="1:14" x14ac:dyDescent="0.25">
      <c r="A15" s="4" t="str">
        <f>'7-8AM'!A15</f>
        <v>Kitale Bound</v>
      </c>
      <c r="B15" s="3">
        <v>19</v>
      </c>
      <c r="C15" s="3">
        <v>20</v>
      </c>
      <c r="D15" s="3">
        <v>11</v>
      </c>
      <c r="E15" s="3">
        <v>7</v>
      </c>
      <c r="F15" s="3">
        <v>4</v>
      </c>
      <c r="G15" s="3">
        <v>1</v>
      </c>
      <c r="H15" s="3">
        <v>1</v>
      </c>
      <c r="I15" s="3">
        <v>0</v>
      </c>
      <c r="J15" s="3">
        <v>4</v>
      </c>
      <c r="K15" s="3">
        <v>1</v>
      </c>
      <c r="L15" s="3">
        <v>0</v>
      </c>
      <c r="M15" s="3">
        <v>0</v>
      </c>
      <c r="N15" s="20">
        <f>SUM(B15:M15)</f>
        <v>68</v>
      </c>
    </row>
    <row r="16" spans="1:14" ht="27" customHeight="1" x14ac:dyDescent="0.25">
      <c r="A16" s="10" t="s">
        <v>19</v>
      </c>
      <c r="B16" s="11">
        <f t="shared" ref="B16:M16" si="0">SUM(B14:B15)</f>
        <v>27</v>
      </c>
      <c r="C16" s="11">
        <f t="shared" si="0"/>
        <v>35</v>
      </c>
      <c r="D16" s="11">
        <f t="shared" si="0"/>
        <v>20</v>
      </c>
      <c r="E16" s="11">
        <f t="shared" si="0"/>
        <v>11</v>
      </c>
      <c r="F16" s="11">
        <f t="shared" si="0"/>
        <v>12</v>
      </c>
      <c r="G16" s="11">
        <f t="shared" si="0"/>
        <v>1</v>
      </c>
      <c r="H16" s="11">
        <f t="shared" si="0"/>
        <v>1</v>
      </c>
      <c r="I16" s="11">
        <f t="shared" si="0"/>
        <v>0</v>
      </c>
      <c r="J16" s="11">
        <f t="shared" si="0"/>
        <v>8</v>
      </c>
      <c r="K16" s="11">
        <f t="shared" si="0"/>
        <v>1</v>
      </c>
      <c r="L16" s="11">
        <f t="shared" si="0"/>
        <v>0</v>
      </c>
      <c r="M16" s="11">
        <f t="shared" si="0"/>
        <v>1</v>
      </c>
      <c r="N16" s="11">
        <f>SUM(B16:M16)</f>
        <v>117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35</v>
      </c>
      <c r="D18" s="18">
        <f t="shared" si="1"/>
        <v>20</v>
      </c>
      <c r="E18" s="18">
        <f t="shared" si="1"/>
        <v>11</v>
      </c>
      <c r="F18" s="18">
        <f t="shared" si="1"/>
        <v>12</v>
      </c>
      <c r="G18" s="18">
        <f t="shared" si="1"/>
        <v>1</v>
      </c>
      <c r="H18" s="18">
        <f t="shared" si="1"/>
        <v>2</v>
      </c>
      <c r="I18" s="18">
        <f t="shared" si="1"/>
        <v>0</v>
      </c>
      <c r="J18" s="18">
        <f t="shared" si="1"/>
        <v>8</v>
      </c>
      <c r="K18" s="18">
        <f t="shared" si="1"/>
        <v>2</v>
      </c>
      <c r="L18" s="18">
        <f t="shared" si="1"/>
        <v>0</v>
      </c>
      <c r="M18" s="18">
        <f t="shared" si="1"/>
        <v>1</v>
      </c>
      <c r="N18" s="19">
        <f>SUM(B18:M18)</f>
        <v>92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59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16</v>
      </c>
      <c r="C24" s="3">
        <v>8</v>
      </c>
      <c r="D24" s="3">
        <v>12</v>
      </c>
      <c r="E24" s="3">
        <v>9</v>
      </c>
      <c r="F24" s="3">
        <v>4</v>
      </c>
      <c r="G24" s="3">
        <v>0</v>
      </c>
      <c r="H24" s="3">
        <v>0</v>
      </c>
      <c r="I24" s="3">
        <v>0</v>
      </c>
      <c r="J24" s="3">
        <v>4</v>
      </c>
      <c r="K24" s="3">
        <v>1</v>
      </c>
      <c r="L24" s="3">
        <v>0</v>
      </c>
      <c r="M24" s="3">
        <v>1</v>
      </c>
      <c r="N24" s="20">
        <f>SUM(B24:M24)</f>
        <v>55</v>
      </c>
    </row>
    <row r="25" spans="1:14" ht="30" customHeight="1" x14ac:dyDescent="0.25">
      <c r="A25" s="4" t="str">
        <f>'7-8AM'!A25</f>
        <v>Kitale Bound</v>
      </c>
      <c r="B25" s="3">
        <v>21</v>
      </c>
      <c r="C25" s="3">
        <v>22</v>
      </c>
      <c r="D25" s="3">
        <v>6</v>
      </c>
      <c r="E25" s="3">
        <v>1</v>
      </c>
      <c r="F25" s="3">
        <v>8</v>
      </c>
      <c r="G25" s="3">
        <v>0</v>
      </c>
      <c r="H25" s="3">
        <v>0</v>
      </c>
      <c r="I25" s="3">
        <v>0</v>
      </c>
      <c r="J25" s="3">
        <v>4</v>
      </c>
      <c r="K25" s="3">
        <v>1</v>
      </c>
      <c r="L25" s="3">
        <v>1</v>
      </c>
      <c r="M25" s="3">
        <v>0</v>
      </c>
      <c r="N25" s="20">
        <f>SUM(B25:M25)</f>
        <v>64</v>
      </c>
    </row>
    <row r="26" spans="1:14" ht="27" customHeight="1" x14ac:dyDescent="0.25">
      <c r="A26" s="10" t="s">
        <v>19</v>
      </c>
      <c r="B26" s="11">
        <f t="shared" ref="B26:M26" si="2">SUM(B24:B25)</f>
        <v>37</v>
      </c>
      <c r="C26" s="11">
        <f t="shared" si="2"/>
        <v>30</v>
      </c>
      <c r="D26" s="11">
        <f t="shared" si="2"/>
        <v>18</v>
      </c>
      <c r="E26" s="11">
        <f t="shared" si="2"/>
        <v>10</v>
      </c>
      <c r="F26" s="11">
        <f t="shared" si="2"/>
        <v>12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8</v>
      </c>
      <c r="K26" s="11">
        <f t="shared" si="2"/>
        <v>2</v>
      </c>
      <c r="L26" s="11">
        <f t="shared" si="2"/>
        <v>1</v>
      </c>
      <c r="M26" s="11">
        <f t="shared" si="2"/>
        <v>1</v>
      </c>
      <c r="N26" s="11">
        <f>SUM(B26:M26)</f>
        <v>119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30</v>
      </c>
      <c r="D28" s="18">
        <f t="shared" si="3"/>
        <v>18</v>
      </c>
      <c r="E28" s="18">
        <f t="shared" si="3"/>
        <v>10</v>
      </c>
      <c r="F28" s="18">
        <f t="shared" si="3"/>
        <v>12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8</v>
      </c>
      <c r="K28" s="18">
        <f t="shared" si="3"/>
        <v>4</v>
      </c>
      <c r="L28" s="18">
        <f t="shared" si="3"/>
        <v>2</v>
      </c>
      <c r="M28" s="18">
        <f t="shared" si="3"/>
        <v>1</v>
      </c>
      <c r="N28" s="19">
        <f>SUM(B28:M28)</f>
        <v>85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60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30.75" customHeight="1" x14ac:dyDescent="0.25">
      <c r="A34" s="4" t="str">
        <f>'7-8AM'!A34</f>
        <v>Maili Tisa Bound</v>
      </c>
      <c r="B34" s="3">
        <v>19</v>
      </c>
      <c r="C34" s="3">
        <v>12</v>
      </c>
      <c r="D34" s="3">
        <v>4</v>
      </c>
      <c r="E34" s="3">
        <v>3</v>
      </c>
      <c r="F34" s="3">
        <v>4</v>
      </c>
      <c r="G34" s="3">
        <v>1</v>
      </c>
      <c r="H34" s="3">
        <v>1</v>
      </c>
      <c r="I34" s="3">
        <v>0</v>
      </c>
      <c r="J34" s="3">
        <v>5</v>
      </c>
      <c r="K34" s="3">
        <v>1</v>
      </c>
      <c r="L34" s="3">
        <v>1</v>
      </c>
      <c r="M34" s="3">
        <v>0</v>
      </c>
      <c r="N34" s="20">
        <f>SUM(B34:M34)</f>
        <v>51</v>
      </c>
    </row>
    <row r="35" spans="1:14" ht="31.5" customHeight="1" x14ac:dyDescent="0.25">
      <c r="A35" s="4" t="str">
        <f>'7-8AM'!A35</f>
        <v>Kitale Bound</v>
      </c>
      <c r="B35" s="3">
        <v>13</v>
      </c>
      <c r="C35" s="3">
        <v>14</v>
      </c>
      <c r="D35" s="3">
        <v>4</v>
      </c>
      <c r="E35" s="3">
        <v>2</v>
      </c>
      <c r="F35" s="3">
        <v>8</v>
      </c>
      <c r="G35" s="3">
        <v>1</v>
      </c>
      <c r="H35" s="3">
        <v>0</v>
      </c>
      <c r="I35" s="3">
        <v>0</v>
      </c>
      <c r="J35" s="3">
        <v>3</v>
      </c>
      <c r="K35" s="3">
        <v>0</v>
      </c>
      <c r="L35" s="3">
        <v>0</v>
      </c>
      <c r="M35" s="3">
        <v>0</v>
      </c>
      <c r="N35" s="20">
        <f>SUM(B35:M35)</f>
        <v>45</v>
      </c>
    </row>
    <row r="36" spans="1:14" ht="45" customHeight="1" x14ac:dyDescent="0.25">
      <c r="A36" s="10" t="s">
        <v>19</v>
      </c>
      <c r="B36" s="11">
        <f t="shared" ref="B36:M36" si="4">SUM(B34:B35)</f>
        <v>32</v>
      </c>
      <c r="C36" s="11">
        <f t="shared" si="4"/>
        <v>26</v>
      </c>
      <c r="D36" s="11">
        <f t="shared" si="4"/>
        <v>8</v>
      </c>
      <c r="E36" s="11">
        <f t="shared" si="4"/>
        <v>5</v>
      </c>
      <c r="F36" s="11">
        <f t="shared" si="4"/>
        <v>12</v>
      </c>
      <c r="G36" s="11">
        <f t="shared" si="4"/>
        <v>2</v>
      </c>
      <c r="H36" s="11">
        <f t="shared" si="4"/>
        <v>1</v>
      </c>
      <c r="I36" s="11">
        <f t="shared" si="4"/>
        <v>0</v>
      </c>
      <c r="J36" s="11">
        <f t="shared" si="4"/>
        <v>8</v>
      </c>
      <c r="K36" s="11">
        <f t="shared" si="4"/>
        <v>1</v>
      </c>
      <c r="L36" s="11">
        <f t="shared" si="4"/>
        <v>1</v>
      </c>
      <c r="M36" s="11">
        <f t="shared" si="4"/>
        <v>0</v>
      </c>
      <c r="N36" s="11">
        <f>SUM(B36:M36)</f>
        <v>96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26</v>
      </c>
      <c r="D38" s="18">
        <f t="shared" si="5"/>
        <v>8</v>
      </c>
      <c r="E38" s="18">
        <f t="shared" si="5"/>
        <v>5</v>
      </c>
      <c r="F38" s="18">
        <f t="shared" si="5"/>
        <v>12</v>
      </c>
      <c r="G38" s="18">
        <f t="shared" si="5"/>
        <v>2</v>
      </c>
      <c r="H38" s="18">
        <f t="shared" si="5"/>
        <v>2</v>
      </c>
      <c r="I38" s="18">
        <f t="shared" si="5"/>
        <v>0</v>
      </c>
      <c r="J38" s="18">
        <f t="shared" si="5"/>
        <v>8</v>
      </c>
      <c r="K38" s="18">
        <f t="shared" si="5"/>
        <v>2</v>
      </c>
      <c r="L38" s="18">
        <f t="shared" si="5"/>
        <v>2</v>
      </c>
      <c r="M38" s="18">
        <f t="shared" si="5"/>
        <v>0</v>
      </c>
      <c r="N38" s="19">
        <f>SUM(B38:M38)</f>
        <v>67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61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16</v>
      </c>
      <c r="C44" s="3">
        <v>15</v>
      </c>
      <c r="D44" s="3">
        <v>3</v>
      </c>
      <c r="E44" s="3">
        <v>3</v>
      </c>
      <c r="F44" s="3">
        <v>9</v>
      </c>
      <c r="G44" s="3">
        <v>2</v>
      </c>
      <c r="H44" s="3">
        <v>1</v>
      </c>
      <c r="I44" s="3">
        <v>0</v>
      </c>
      <c r="J44" s="3">
        <v>1</v>
      </c>
      <c r="K44" s="3">
        <v>1</v>
      </c>
      <c r="L44" s="3">
        <v>0</v>
      </c>
      <c r="M44" s="3">
        <v>0</v>
      </c>
      <c r="N44" s="20">
        <f>SUM(B44:M44)</f>
        <v>51</v>
      </c>
    </row>
    <row r="45" spans="1:14" ht="32.25" customHeight="1" x14ac:dyDescent="0.25">
      <c r="A45" s="4" t="str">
        <f>'7-8AM'!A45</f>
        <v>Kitale Bound</v>
      </c>
      <c r="B45" s="3">
        <v>22</v>
      </c>
      <c r="C45" s="3">
        <v>20</v>
      </c>
      <c r="D45" s="3">
        <v>7</v>
      </c>
      <c r="E45" s="3">
        <v>5</v>
      </c>
      <c r="F45" s="3">
        <v>7</v>
      </c>
      <c r="G45" s="3">
        <v>0</v>
      </c>
      <c r="H45" s="3">
        <v>0</v>
      </c>
      <c r="I45" s="3">
        <v>0</v>
      </c>
      <c r="J45" s="3">
        <v>3</v>
      </c>
      <c r="K45" s="3">
        <v>0</v>
      </c>
      <c r="L45" s="3">
        <v>0</v>
      </c>
      <c r="M45" s="3">
        <v>0</v>
      </c>
      <c r="N45" s="20">
        <f>SUM(B45:M45)</f>
        <v>64</v>
      </c>
    </row>
    <row r="46" spans="1:14" ht="27.75" customHeight="1" x14ac:dyDescent="0.25">
      <c r="A46" s="10" t="s">
        <v>19</v>
      </c>
      <c r="B46" s="11">
        <f t="shared" ref="B46:M46" si="6">SUM(B44:B45)</f>
        <v>38</v>
      </c>
      <c r="C46" s="11">
        <f t="shared" si="6"/>
        <v>35</v>
      </c>
      <c r="D46" s="11">
        <f t="shared" si="6"/>
        <v>10</v>
      </c>
      <c r="E46" s="11">
        <f t="shared" si="6"/>
        <v>8</v>
      </c>
      <c r="F46" s="11">
        <f t="shared" si="6"/>
        <v>16</v>
      </c>
      <c r="G46" s="11">
        <f t="shared" si="6"/>
        <v>2</v>
      </c>
      <c r="H46" s="11">
        <f t="shared" si="6"/>
        <v>1</v>
      </c>
      <c r="I46" s="11">
        <f t="shared" si="6"/>
        <v>0</v>
      </c>
      <c r="J46" s="11">
        <f t="shared" si="6"/>
        <v>4</v>
      </c>
      <c r="K46" s="11">
        <f t="shared" si="6"/>
        <v>1</v>
      </c>
      <c r="L46" s="11">
        <f t="shared" si="6"/>
        <v>0</v>
      </c>
      <c r="M46" s="11">
        <f t="shared" si="6"/>
        <v>0</v>
      </c>
      <c r="N46" s="11">
        <f>SUM(B46:M46)</f>
        <v>115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35</v>
      </c>
      <c r="D48" s="18">
        <f t="shared" si="7"/>
        <v>10</v>
      </c>
      <c r="E48" s="18">
        <f t="shared" si="7"/>
        <v>8</v>
      </c>
      <c r="F48" s="18">
        <f t="shared" si="7"/>
        <v>16</v>
      </c>
      <c r="G48" s="18">
        <f t="shared" si="7"/>
        <v>2</v>
      </c>
      <c r="H48" s="18">
        <f t="shared" si="7"/>
        <v>2</v>
      </c>
      <c r="I48" s="18">
        <f t="shared" si="7"/>
        <v>0</v>
      </c>
      <c r="J48" s="18">
        <f t="shared" si="7"/>
        <v>4</v>
      </c>
      <c r="K48" s="18">
        <f t="shared" si="7"/>
        <v>2</v>
      </c>
      <c r="L48" s="18">
        <f t="shared" si="7"/>
        <v>0</v>
      </c>
      <c r="M48" s="18">
        <f t="shared" si="7"/>
        <v>0</v>
      </c>
      <c r="N48" s="19">
        <f>SUM(B48:M48)</f>
        <v>79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62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59</v>
      </c>
      <c r="C56" s="3">
        <f t="shared" si="8"/>
        <v>50</v>
      </c>
      <c r="D56" s="3">
        <f t="shared" si="8"/>
        <v>28</v>
      </c>
      <c r="E56" s="3">
        <f t="shared" si="8"/>
        <v>19</v>
      </c>
      <c r="F56" s="3">
        <f t="shared" si="8"/>
        <v>25</v>
      </c>
      <c r="G56" s="3">
        <f t="shared" si="8"/>
        <v>3</v>
      </c>
      <c r="H56" s="3">
        <f t="shared" si="8"/>
        <v>2</v>
      </c>
      <c r="I56" s="3">
        <f t="shared" si="8"/>
        <v>0</v>
      </c>
      <c r="J56" s="3">
        <f t="shared" si="8"/>
        <v>14</v>
      </c>
      <c r="K56" s="3">
        <f t="shared" si="8"/>
        <v>3</v>
      </c>
      <c r="L56" s="3">
        <f t="shared" si="8"/>
        <v>1</v>
      </c>
      <c r="M56" s="3">
        <f t="shared" si="8"/>
        <v>2</v>
      </c>
      <c r="N56" s="20">
        <f>SUM(B56:M56)</f>
        <v>206</v>
      </c>
    </row>
    <row r="57" spans="1:14" x14ac:dyDescent="0.25">
      <c r="A57" s="4" t="str">
        <f>'7-8AM'!A57</f>
        <v>Kitale Bound</v>
      </c>
      <c r="B57" s="3">
        <f t="shared" ref="B57:M57" si="9">(B15+B25+B35+B45)</f>
        <v>75</v>
      </c>
      <c r="C57" s="3">
        <f t="shared" si="9"/>
        <v>76</v>
      </c>
      <c r="D57" s="3">
        <f t="shared" si="9"/>
        <v>28</v>
      </c>
      <c r="E57" s="3">
        <f t="shared" si="9"/>
        <v>15</v>
      </c>
      <c r="F57" s="3">
        <f t="shared" si="9"/>
        <v>27</v>
      </c>
      <c r="G57" s="3">
        <f t="shared" si="9"/>
        <v>2</v>
      </c>
      <c r="H57" s="3">
        <f t="shared" si="9"/>
        <v>1</v>
      </c>
      <c r="I57" s="3">
        <f t="shared" si="9"/>
        <v>0</v>
      </c>
      <c r="J57" s="3">
        <f t="shared" si="9"/>
        <v>14</v>
      </c>
      <c r="K57" s="3">
        <f t="shared" si="9"/>
        <v>2</v>
      </c>
      <c r="L57" s="3">
        <f t="shared" si="9"/>
        <v>1</v>
      </c>
      <c r="M57" s="3">
        <f t="shared" si="9"/>
        <v>0</v>
      </c>
      <c r="N57" s="20">
        <f>SUM(B57:M57)</f>
        <v>241</v>
      </c>
    </row>
    <row r="58" spans="1:14" ht="27.75" customHeight="1" x14ac:dyDescent="0.25">
      <c r="A58" s="10" t="s">
        <v>19</v>
      </c>
      <c r="B58" s="11">
        <f t="shared" ref="B58:M58" si="10">SUM(B56:B57)</f>
        <v>134</v>
      </c>
      <c r="C58" s="11">
        <f t="shared" si="10"/>
        <v>126</v>
      </c>
      <c r="D58" s="11">
        <f t="shared" si="10"/>
        <v>56</v>
      </c>
      <c r="E58" s="11">
        <f t="shared" si="10"/>
        <v>34</v>
      </c>
      <c r="F58" s="11">
        <f t="shared" si="10"/>
        <v>52</v>
      </c>
      <c r="G58" s="11">
        <f t="shared" si="10"/>
        <v>5</v>
      </c>
      <c r="H58" s="11">
        <f t="shared" si="10"/>
        <v>3</v>
      </c>
      <c r="I58" s="11">
        <f t="shared" si="10"/>
        <v>0</v>
      </c>
      <c r="J58" s="11">
        <f t="shared" si="10"/>
        <v>28</v>
      </c>
      <c r="K58" s="11">
        <f t="shared" si="10"/>
        <v>5</v>
      </c>
      <c r="L58" s="11">
        <f t="shared" si="10"/>
        <v>2</v>
      </c>
      <c r="M58" s="11">
        <f t="shared" si="10"/>
        <v>2</v>
      </c>
      <c r="N58" s="11">
        <f>SUM(B58:M58)</f>
        <v>447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126</v>
      </c>
      <c r="D60" s="18">
        <f t="shared" si="11"/>
        <v>56</v>
      </c>
      <c r="E60" s="18">
        <f t="shared" si="11"/>
        <v>34</v>
      </c>
      <c r="F60" s="18">
        <f t="shared" si="11"/>
        <v>52</v>
      </c>
      <c r="G60" s="18">
        <f t="shared" si="11"/>
        <v>5</v>
      </c>
      <c r="H60" s="18">
        <f t="shared" si="11"/>
        <v>6</v>
      </c>
      <c r="I60" s="18">
        <f t="shared" si="11"/>
        <v>0</v>
      </c>
      <c r="J60" s="18">
        <f t="shared" si="11"/>
        <v>28</v>
      </c>
      <c r="K60" s="18">
        <f t="shared" si="11"/>
        <v>10</v>
      </c>
      <c r="L60" s="18">
        <f t="shared" si="11"/>
        <v>4</v>
      </c>
      <c r="M60" s="18">
        <f t="shared" si="11"/>
        <v>2</v>
      </c>
      <c r="N60" s="19">
        <f>SUM(B60:M60)</f>
        <v>323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9"/>
  <sheetViews>
    <sheetView workbookViewId="0">
      <selection activeCell="B30" sqref="B30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64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22</v>
      </c>
      <c r="C14" s="3">
        <v>15</v>
      </c>
      <c r="D14" s="3">
        <v>3</v>
      </c>
      <c r="E14" s="3">
        <v>3</v>
      </c>
      <c r="F14" s="3">
        <v>4</v>
      </c>
      <c r="G14" s="3">
        <v>0</v>
      </c>
      <c r="H14" s="3">
        <v>1</v>
      </c>
      <c r="I14" s="3">
        <v>0</v>
      </c>
      <c r="J14" s="3">
        <v>2</v>
      </c>
      <c r="K14" s="3">
        <v>1</v>
      </c>
      <c r="L14" s="3">
        <v>0</v>
      </c>
      <c r="M14" s="3">
        <v>0</v>
      </c>
      <c r="N14" s="20">
        <f>SUM(B14:M14)</f>
        <v>51</v>
      </c>
    </row>
    <row r="15" spans="1:14" x14ac:dyDescent="0.25">
      <c r="A15" s="4" t="str">
        <f>'7-8AM'!A15</f>
        <v>Kitale Bound</v>
      </c>
      <c r="B15" s="3">
        <v>19</v>
      </c>
      <c r="C15" s="3">
        <v>23</v>
      </c>
      <c r="D15" s="3">
        <v>5</v>
      </c>
      <c r="E15" s="3">
        <v>3</v>
      </c>
      <c r="F15" s="3">
        <v>8</v>
      </c>
      <c r="G15" s="3">
        <v>0</v>
      </c>
      <c r="H15" s="3">
        <v>0</v>
      </c>
      <c r="I15" s="3">
        <v>0</v>
      </c>
      <c r="J15" s="3">
        <v>6</v>
      </c>
      <c r="K15" s="3">
        <v>0</v>
      </c>
      <c r="L15" s="3">
        <v>0</v>
      </c>
      <c r="M15" s="3">
        <v>0</v>
      </c>
      <c r="N15" s="20">
        <f>SUM(B15:M15)</f>
        <v>64</v>
      </c>
    </row>
    <row r="16" spans="1:14" ht="27" customHeight="1" x14ac:dyDescent="0.25">
      <c r="A16" s="10" t="s">
        <v>19</v>
      </c>
      <c r="B16" s="11">
        <f t="shared" ref="B16:M16" si="0">SUM(B14:B15)</f>
        <v>41</v>
      </c>
      <c r="C16" s="11">
        <f t="shared" si="0"/>
        <v>38</v>
      </c>
      <c r="D16" s="11">
        <f t="shared" si="0"/>
        <v>8</v>
      </c>
      <c r="E16" s="11">
        <f t="shared" si="0"/>
        <v>6</v>
      </c>
      <c r="F16" s="11">
        <f t="shared" si="0"/>
        <v>12</v>
      </c>
      <c r="G16" s="11">
        <f t="shared" si="0"/>
        <v>0</v>
      </c>
      <c r="H16" s="11">
        <f t="shared" si="0"/>
        <v>1</v>
      </c>
      <c r="I16" s="11">
        <f t="shared" si="0"/>
        <v>0</v>
      </c>
      <c r="J16" s="11">
        <f t="shared" si="0"/>
        <v>8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115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38</v>
      </c>
      <c r="D18" s="18">
        <f t="shared" si="1"/>
        <v>8</v>
      </c>
      <c r="E18" s="18">
        <f t="shared" si="1"/>
        <v>6</v>
      </c>
      <c r="F18" s="18">
        <f t="shared" si="1"/>
        <v>12</v>
      </c>
      <c r="G18" s="18">
        <f t="shared" si="1"/>
        <v>0</v>
      </c>
      <c r="H18" s="18">
        <f t="shared" si="1"/>
        <v>2</v>
      </c>
      <c r="I18" s="18">
        <f t="shared" si="1"/>
        <v>0</v>
      </c>
      <c r="J18" s="18">
        <f t="shared" si="1"/>
        <v>8</v>
      </c>
      <c r="K18" s="18">
        <f t="shared" si="1"/>
        <v>2</v>
      </c>
      <c r="L18" s="18">
        <f t="shared" si="1"/>
        <v>0</v>
      </c>
      <c r="M18" s="18">
        <f t="shared" si="1"/>
        <v>0</v>
      </c>
      <c r="N18" s="19">
        <f>SUM(B18:M18)</f>
        <v>76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65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x14ac:dyDescent="0.25">
      <c r="A24" s="4" t="str">
        <f>'7-8AM'!A24</f>
        <v>Maili Tisa Bound</v>
      </c>
      <c r="B24" s="3">
        <v>20</v>
      </c>
      <c r="C24" s="3">
        <v>9</v>
      </c>
      <c r="D24" s="3">
        <v>3</v>
      </c>
      <c r="E24" s="3">
        <v>4</v>
      </c>
      <c r="F24" s="3">
        <v>6</v>
      </c>
      <c r="G24" s="3">
        <v>0</v>
      </c>
      <c r="H24" s="3">
        <v>1</v>
      </c>
      <c r="I24" s="3">
        <v>0</v>
      </c>
      <c r="J24" s="3">
        <v>4</v>
      </c>
      <c r="K24" s="3">
        <v>0</v>
      </c>
      <c r="L24" s="3">
        <v>1</v>
      </c>
      <c r="M24" s="3">
        <v>0</v>
      </c>
      <c r="N24" s="20">
        <f>SUM(B24:M24)</f>
        <v>48</v>
      </c>
    </row>
    <row r="25" spans="1:14" ht="27.75" customHeight="1" x14ac:dyDescent="0.25">
      <c r="A25" s="4" t="str">
        <f>'7-8AM'!A25</f>
        <v>Kitale Bound</v>
      </c>
      <c r="B25" s="3">
        <v>21</v>
      </c>
      <c r="C25" s="3">
        <v>14</v>
      </c>
      <c r="D25" s="3">
        <v>4</v>
      </c>
      <c r="E25" s="3">
        <v>1</v>
      </c>
      <c r="F25" s="3">
        <v>7</v>
      </c>
      <c r="G25" s="3">
        <v>0</v>
      </c>
      <c r="H25" s="3">
        <v>0</v>
      </c>
      <c r="I25" s="3">
        <v>0</v>
      </c>
      <c r="J25" s="3">
        <v>3</v>
      </c>
      <c r="K25" s="3">
        <v>0</v>
      </c>
      <c r="L25" s="3">
        <v>1</v>
      </c>
      <c r="M25" s="3">
        <v>0</v>
      </c>
      <c r="N25" s="20">
        <f>SUM(B25:M25)</f>
        <v>51</v>
      </c>
    </row>
    <row r="26" spans="1:14" ht="27" customHeight="1" x14ac:dyDescent="0.25">
      <c r="A26" s="10" t="s">
        <v>19</v>
      </c>
      <c r="B26" s="11">
        <f t="shared" ref="B26:M26" si="2">SUM(B24:B25)</f>
        <v>41</v>
      </c>
      <c r="C26" s="11">
        <f t="shared" si="2"/>
        <v>23</v>
      </c>
      <c r="D26" s="11">
        <f t="shared" si="2"/>
        <v>7</v>
      </c>
      <c r="E26" s="11">
        <f t="shared" si="2"/>
        <v>5</v>
      </c>
      <c r="F26" s="11">
        <f t="shared" si="2"/>
        <v>13</v>
      </c>
      <c r="G26" s="11">
        <f t="shared" si="2"/>
        <v>0</v>
      </c>
      <c r="H26" s="11">
        <f t="shared" si="2"/>
        <v>1</v>
      </c>
      <c r="I26" s="11">
        <f t="shared" si="2"/>
        <v>0</v>
      </c>
      <c r="J26" s="11">
        <f t="shared" si="2"/>
        <v>7</v>
      </c>
      <c r="K26" s="11">
        <f t="shared" si="2"/>
        <v>0</v>
      </c>
      <c r="L26" s="11">
        <f t="shared" si="2"/>
        <v>2</v>
      </c>
      <c r="M26" s="11">
        <f t="shared" si="2"/>
        <v>0</v>
      </c>
      <c r="N26" s="11">
        <f>SUM(B26:M26)</f>
        <v>99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23</v>
      </c>
      <c r="D28" s="18">
        <f t="shared" si="3"/>
        <v>7</v>
      </c>
      <c r="E28" s="18">
        <f t="shared" si="3"/>
        <v>5</v>
      </c>
      <c r="F28" s="18">
        <f t="shared" si="3"/>
        <v>13</v>
      </c>
      <c r="G28" s="18">
        <f t="shared" si="3"/>
        <v>0</v>
      </c>
      <c r="H28" s="18">
        <f t="shared" si="3"/>
        <v>2</v>
      </c>
      <c r="I28" s="18">
        <f t="shared" si="3"/>
        <v>0</v>
      </c>
      <c r="J28" s="18">
        <f t="shared" si="3"/>
        <v>7</v>
      </c>
      <c r="K28" s="18">
        <f t="shared" si="3"/>
        <v>0</v>
      </c>
      <c r="L28" s="18">
        <f t="shared" si="3"/>
        <v>4</v>
      </c>
      <c r="M28" s="18">
        <f t="shared" si="3"/>
        <v>0</v>
      </c>
      <c r="N28" s="19">
        <f>SUM(B28:M28)</f>
        <v>61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66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8.5" customHeight="1" x14ac:dyDescent="0.25">
      <c r="A34" s="4" t="str">
        <f>'7-8AM'!A34</f>
        <v>Maili Tisa Bound</v>
      </c>
      <c r="B34" s="3">
        <v>24</v>
      </c>
      <c r="C34" s="3">
        <v>9</v>
      </c>
      <c r="D34" s="3">
        <v>8</v>
      </c>
      <c r="E34" s="3">
        <v>2</v>
      </c>
      <c r="F34" s="3">
        <v>10</v>
      </c>
      <c r="G34" s="3">
        <v>0</v>
      </c>
      <c r="H34" s="3">
        <v>0</v>
      </c>
      <c r="I34" s="3">
        <v>0</v>
      </c>
      <c r="J34" s="3">
        <v>6</v>
      </c>
      <c r="K34" s="3">
        <v>0</v>
      </c>
      <c r="L34" s="3">
        <v>0</v>
      </c>
      <c r="M34" s="3">
        <v>0</v>
      </c>
      <c r="N34" s="20">
        <f>SUM(B34:M34)</f>
        <v>59</v>
      </c>
    </row>
    <row r="35" spans="1:14" ht="27.75" customHeight="1" x14ac:dyDescent="0.25">
      <c r="A35" s="4" t="str">
        <f>'7-8AM'!A35</f>
        <v>Kitale Bound</v>
      </c>
      <c r="B35" s="3">
        <v>29</v>
      </c>
      <c r="C35" s="3">
        <v>19</v>
      </c>
      <c r="D35" s="3">
        <v>1</v>
      </c>
      <c r="E35" s="3">
        <v>3</v>
      </c>
      <c r="F35" s="3">
        <v>6</v>
      </c>
      <c r="G35" s="3">
        <v>0</v>
      </c>
      <c r="H35" s="3">
        <v>1</v>
      </c>
      <c r="I35" s="3">
        <v>0</v>
      </c>
      <c r="J35" s="3">
        <v>3</v>
      </c>
      <c r="K35" s="3">
        <v>2</v>
      </c>
      <c r="L35" s="3">
        <v>0</v>
      </c>
      <c r="M35" s="3">
        <v>0</v>
      </c>
      <c r="N35" s="20">
        <f>SUM(B35:M35)</f>
        <v>64</v>
      </c>
    </row>
    <row r="36" spans="1:14" ht="45" customHeight="1" x14ac:dyDescent="0.25">
      <c r="A36" s="10" t="s">
        <v>19</v>
      </c>
      <c r="B36" s="11">
        <f t="shared" ref="B36:M36" si="4">SUM(B34:B35)</f>
        <v>53</v>
      </c>
      <c r="C36" s="11">
        <f t="shared" si="4"/>
        <v>28</v>
      </c>
      <c r="D36" s="11">
        <f t="shared" si="4"/>
        <v>9</v>
      </c>
      <c r="E36" s="11">
        <f t="shared" si="4"/>
        <v>5</v>
      </c>
      <c r="F36" s="11">
        <f t="shared" si="4"/>
        <v>16</v>
      </c>
      <c r="G36" s="11">
        <f t="shared" si="4"/>
        <v>0</v>
      </c>
      <c r="H36" s="11">
        <f t="shared" si="4"/>
        <v>1</v>
      </c>
      <c r="I36" s="11">
        <f t="shared" si="4"/>
        <v>0</v>
      </c>
      <c r="J36" s="11">
        <f t="shared" si="4"/>
        <v>9</v>
      </c>
      <c r="K36" s="11">
        <f t="shared" si="4"/>
        <v>2</v>
      </c>
      <c r="L36" s="11">
        <f t="shared" si="4"/>
        <v>0</v>
      </c>
      <c r="M36" s="11">
        <f t="shared" si="4"/>
        <v>0</v>
      </c>
      <c r="N36" s="11">
        <f>SUM(B36:M36)</f>
        <v>123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28</v>
      </c>
      <c r="D38" s="18">
        <f t="shared" si="5"/>
        <v>9</v>
      </c>
      <c r="E38" s="18">
        <f t="shared" si="5"/>
        <v>5</v>
      </c>
      <c r="F38" s="18">
        <f t="shared" si="5"/>
        <v>16</v>
      </c>
      <c r="G38" s="18">
        <f t="shared" si="5"/>
        <v>0</v>
      </c>
      <c r="H38" s="18">
        <f t="shared" si="5"/>
        <v>2</v>
      </c>
      <c r="I38" s="18">
        <f t="shared" si="5"/>
        <v>0</v>
      </c>
      <c r="J38" s="18">
        <f t="shared" si="5"/>
        <v>9</v>
      </c>
      <c r="K38" s="18">
        <f t="shared" si="5"/>
        <v>4</v>
      </c>
      <c r="L38" s="18">
        <f t="shared" si="5"/>
        <v>0</v>
      </c>
      <c r="M38" s="18">
        <f t="shared" si="5"/>
        <v>0</v>
      </c>
      <c r="N38" s="19">
        <f>SUM(B38:M38)</f>
        <v>73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67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26</v>
      </c>
      <c r="C44" s="3">
        <v>12</v>
      </c>
      <c r="D44" s="3">
        <v>8</v>
      </c>
      <c r="E44" s="3">
        <v>3</v>
      </c>
      <c r="F44" s="3">
        <v>6</v>
      </c>
      <c r="G44" s="3">
        <v>0</v>
      </c>
      <c r="H44" s="3">
        <v>0</v>
      </c>
      <c r="I44" s="3">
        <v>1</v>
      </c>
      <c r="J44" s="3">
        <v>1</v>
      </c>
      <c r="K44" s="3">
        <v>1</v>
      </c>
      <c r="L44" s="3">
        <v>0</v>
      </c>
      <c r="M44" s="3">
        <v>0</v>
      </c>
      <c r="N44" s="20">
        <f>SUM(B44:M44)</f>
        <v>58</v>
      </c>
    </row>
    <row r="45" spans="1:14" ht="32.25" customHeight="1" x14ac:dyDescent="0.25">
      <c r="A45" s="4" t="str">
        <f>'7-8AM'!A45</f>
        <v>Kitale Bound</v>
      </c>
      <c r="B45" s="3">
        <v>31</v>
      </c>
      <c r="C45" s="3">
        <v>19</v>
      </c>
      <c r="D45" s="3">
        <v>5</v>
      </c>
      <c r="E45" s="3">
        <v>3</v>
      </c>
      <c r="F45" s="3">
        <v>8</v>
      </c>
      <c r="G45" s="3">
        <v>0</v>
      </c>
      <c r="H45" s="3">
        <v>0</v>
      </c>
      <c r="I45" s="3">
        <v>0</v>
      </c>
      <c r="J45" s="3">
        <v>3</v>
      </c>
      <c r="K45" s="3">
        <v>2</v>
      </c>
      <c r="L45" s="3">
        <v>1</v>
      </c>
      <c r="M45" s="3">
        <v>0</v>
      </c>
      <c r="N45" s="20">
        <f>SUM(B45:M45)</f>
        <v>72</v>
      </c>
    </row>
    <row r="46" spans="1:14" ht="27.75" customHeight="1" x14ac:dyDescent="0.25">
      <c r="A46" s="10" t="s">
        <v>19</v>
      </c>
      <c r="B46" s="11">
        <f t="shared" ref="B46:M46" si="6">SUM(B44:B45)</f>
        <v>57</v>
      </c>
      <c r="C46" s="11">
        <f t="shared" si="6"/>
        <v>31</v>
      </c>
      <c r="D46" s="11">
        <f t="shared" si="6"/>
        <v>13</v>
      </c>
      <c r="E46" s="11">
        <f t="shared" si="6"/>
        <v>6</v>
      </c>
      <c r="F46" s="11">
        <f t="shared" si="6"/>
        <v>14</v>
      </c>
      <c r="G46" s="11">
        <f t="shared" si="6"/>
        <v>0</v>
      </c>
      <c r="H46" s="11">
        <f t="shared" si="6"/>
        <v>0</v>
      </c>
      <c r="I46" s="11">
        <f t="shared" si="6"/>
        <v>1</v>
      </c>
      <c r="J46" s="11">
        <f t="shared" si="6"/>
        <v>4</v>
      </c>
      <c r="K46" s="11">
        <f t="shared" si="6"/>
        <v>3</v>
      </c>
      <c r="L46" s="11">
        <f t="shared" si="6"/>
        <v>1</v>
      </c>
      <c r="M46" s="11">
        <f t="shared" si="6"/>
        <v>0</v>
      </c>
      <c r="N46" s="11">
        <f>SUM(B46:M46)</f>
        <v>130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31</v>
      </c>
      <c r="D48" s="18">
        <f t="shared" si="7"/>
        <v>13</v>
      </c>
      <c r="E48" s="18">
        <f t="shared" si="7"/>
        <v>6</v>
      </c>
      <c r="F48" s="18">
        <f t="shared" si="7"/>
        <v>14</v>
      </c>
      <c r="G48" s="18">
        <f t="shared" si="7"/>
        <v>0</v>
      </c>
      <c r="H48" s="18">
        <f t="shared" si="7"/>
        <v>0</v>
      </c>
      <c r="I48" s="18">
        <f t="shared" si="7"/>
        <v>1</v>
      </c>
      <c r="J48" s="18">
        <f t="shared" si="7"/>
        <v>4</v>
      </c>
      <c r="K48" s="18">
        <f t="shared" si="7"/>
        <v>6</v>
      </c>
      <c r="L48" s="18">
        <f t="shared" si="7"/>
        <v>2</v>
      </c>
      <c r="M48" s="18">
        <f t="shared" si="7"/>
        <v>0</v>
      </c>
      <c r="N48" s="19">
        <f>SUM(B48:M48)</f>
        <v>77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68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92</v>
      </c>
      <c r="C56" s="3">
        <f t="shared" si="8"/>
        <v>45</v>
      </c>
      <c r="D56" s="3">
        <f t="shared" si="8"/>
        <v>22</v>
      </c>
      <c r="E56" s="3">
        <f t="shared" si="8"/>
        <v>12</v>
      </c>
      <c r="F56" s="3">
        <f t="shared" si="8"/>
        <v>26</v>
      </c>
      <c r="G56" s="3">
        <f t="shared" si="8"/>
        <v>0</v>
      </c>
      <c r="H56" s="3">
        <f t="shared" si="8"/>
        <v>2</v>
      </c>
      <c r="I56" s="3">
        <f t="shared" si="8"/>
        <v>1</v>
      </c>
      <c r="J56" s="3">
        <f t="shared" si="8"/>
        <v>13</v>
      </c>
      <c r="K56" s="3">
        <f t="shared" si="8"/>
        <v>2</v>
      </c>
      <c r="L56" s="3">
        <f t="shared" si="8"/>
        <v>1</v>
      </c>
      <c r="M56" s="3">
        <f t="shared" si="8"/>
        <v>0</v>
      </c>
      <c r="N56" s="20">
        <f>SUM(B56:M56)</f>
        <v>216</v>
      </c>
    </row>
    <row r="57" spans="1:14" x14ac:dyDescent="0.25">
      <c r="A57" s="4" t="str">
        <f>'7-8AM'!A57</f>
        <v>Kitale Bound</v>
      </c>
      <c r="B57" s="3">
        <f t="shared" ref="B57:M57" si="9">(B15+B25+B35+B45)</f>
        <v>100</v>
      </c>
      <c r="C57" s="3">
        <f t="shared" si="9"/>
        <v>75</v>
      </c>
      <c r="D57" s="3">
        <f t="shared" si="9"/>
        <v>15</v>
      </c>
      <c r="E57" s="3">
        <f t="shared" si="9"/>
        <v>10</v>
      </c>
      <c r="F57" s="3">
        <f t="shared" si="9"/>
        <v>29</v>
      </c>
      <c r="G57" s="3">
        <f t="shared" si="9"/>
        <v>0</v>
      </c>
      <c r="H57" s="3">
        <f t="shared" si="9"/>
        <v>1</v>
      </c>
      <c r="I57" s="3">
        <f t="shared" si="9"/>
        <v>0</v>
      </c>
      <c r="J57" s="3">
        <f t="shared" si="9"/>
        <v>15</v>
      </c>
      <c r="K57" s="3">
        <f t="shared" si="9"/>
        <v>4</v>
      </c>
      <c r="L57" s="3">
        <f t="shared" si="9"/>
        <v>2</v>
      </c>
      <c r="M57" s="3">
        <f t="shared" si="9"/>
        <v>0</v>
      </c>
      <c r="N57" s="20">
        <f>SUM(B57:M57)</f>
        <v>251</v>
      </c>
    </row>
    <row r="58" spans="1:14" ht="27.75" customHeight="1" x14ac:dyDescent="0.25">
      <c r="A58" s="10" t="s">
        <v>19</v>
      </c>
      <c r="B58" s="11">
        <f t="shared" ref="B58:M58" si="10">SUM(B56:B57)</f>
        <v>192</v>
      </c>
      <c r="C58" s="11">
        <f t="shared" si="10"/>
        <v>120</v>
      </c>
      <c r="D58" s="11">
        <f t="shared" si="10"/>
        <v>37</v>
      </c>
      <c r="E58" s="11">
        <f t="shared" si="10"/>
        <v>22</v>
      </c>
      <c r="F58" s="11">
        <f t="shared" si="10"/>
        <v>55</v>
      </c>
      <c r="G58" s="11">
        <f t="shared" si="10"/>
        <v>0</v>
      </c>
      <c r="H58" s="11">
        <f t="shared" si="10"/>
        <v>3</v>
      </c>
      <c r="I58" s="11">
        <f t="shared" si="10"/>
        <v>1</v>
      </c>
      <c r="J58" s="11">
        <f t="shared" si="10"/>
        <v>28</v>
      </c>
      <c r="K58" s="11">
        <f t="shared" si="10"/>
        <v>6</v>
      </c>
      <c r="L58" s="11">
        <f t="shared" si="10"/>
        <v>3</v>
      </c>
      <c r="M58" s="11">
        <f t="shared" si="10"/>
        <v>0</v>
      </c>
      <c r="N58" s="11">
        <f>SUM(B58:M58)</f>
        <v>467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120</v>
      </c>
      <c r="D60" s="18">
        <f t="shared" si="11"/>
        <v>37</v>
      </c>
      <c r="E60" s="18">
        <f t="shared" si="11"/>
        <v>22</v>
      </c>
      <c r="F60" s="18">
        <f t="shared" si="11"/>
        <v>55</v>
      </c>
      <c r="G60" s="18">
        <f t="shared" si="11"/>
        <v>0</v>
      </c>
      <c r="H60" s="18">
        <f t="shared" si="11"/>
        <v>6</v>
      </c>
      <c r="I60" s="18">
        <f t="shared" si="11"/>
        <v>1</v>
      </c>
      <c r="J60" s="18">
        <f t="shared" si="11"/>
        <v>28</v>
      </c>
      <c r="K60" s="18">
        <f t="shared" si="11"/>
        <v>12</v>
      </c>
      <c r="L60" s="18">
        <f t="shared" si="11"/>
        <v>6</v>
      </c>
      <c r="M60" s="18">
        <f t="shared" si="11"/>
        <v>0</v>
      </c>
      <c r="N60" s="19">
        <f>SUM(B60:M60)</f>
        <v>287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9"/>
  <sheetViews>
    <sheetView workbookViewId="0">
      <selection activeCell="B44" sqref="B44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70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23</v>
      </c>
      <c r="C14" s="3">
        <v>14</v>
      </c>
      <c r="D14" s="3">
        <v>7</v>
      </c>
      <c r="E14" s="3">
        <v>3</v>
      </c>
      <c r="F14" s="3">
        <v>3</v>
      </c>
      <c r="G14" s="3">
        <v>0</v>
      </c>
      <c r="H14" s="3">
        <v>0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20">
        <f>SUM(B14:M14)</f>
        <v>52</v>
      </c>
    </row>
    <row r="15" spans="1:14" x14ac:dyDescent="0.25">
      <c r="A15" s="4" t="str">
        <f>'7-8AM'!A15</f>
        <v>Kitale Bound</v>
      </c>
      <c r="B15" s="3">
        <v>16</v>
      </c>
      <c r="C15" s="3">
        <v>19</v>
      </c>
      <c r="D15" s="3">
        <v>4</v>
      </c>
      <c r="E15" s="3">
        <v>2</v>
      </c>
      <c r="F15" s="3">
        <v>4</v>
      </c>
      <c r="G15" s="3">
        <v>0</v>
      </c>
      <c r="H15" s="3">
        <v>2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48</v>
      </c>
    </row>
    <row r="16" spans="1:14" ht="27" customHeight="1" x14ac:dyDescent="0.25">
      <c r="A16" s="10" t="s">
        <v>19</v>
      </c>
      <c r="B16" s="11">
        <f t="shared" ref="B16:M16" si="0">SUM(B14:B15)</f>
        <v>39</v>
      </c>
      <c r="C16" s="11">
        <f t="shared" si="0"/>
        <v>33</v>
      </c>
      <c r="D16" s="11">
        <f t="shared" si="0"/>
        <v>11</v>
      </c>
      <c r="E16" s="11">
        <f t="shared" si="0"/>
        <v>5</v>
      </c>
      <c r="F16" s="11">
        <f t="shared" si="0"/>
        <v>7</v>
      </c>
      <c r="G16" s="11">
        <f t="shared" si="0"/>
        <v>0</v>
      </c>
      <c r="H16" s="11">
        <f t="shared" si="0"/>
        <v>2</v>
      </c>
      <c r="I16" s="11">
        <f t="shared" si="0"/>
        <v>1</v>
      </c>
      <c r="J16" s="11">
        <f t="shared" si="0"/>
        <v>2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100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33</v>
      </c>
      <c r="D18" s="18">
        <f t="shared" si="1"/>
        <v>11</v>
      </c>
      <c r="E18" s="18">
        <f t="shared" si="1"/>
        <v>5</v>
      </c>
      <c r="F18" s="18">
        <f t="shared" si="1"/>
        <v>7</v>
      </c>
      <c r="G18" s="18">
        <f t="shared" si="1"/>
        <v>0</v>
      </c>
      <c r="H18" s="18">
        <f t="shared" si="1"/>
        <v>4</v>
      </c>
      <c r="I18" s="18">
        <f t="shared" si="1"/>
        <v>1</v>
      </c>
      <c r="J18" s="18">
        <f t="shared" si="1"/>
        <v>2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63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71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19</v>
      </c>
      <c r="C24" s="3">
        <v>16</v>
      </c>
      <c r="D24" s="3">
        <v>11</v>
      </c>
      <c r="E24" s="3">
        <v>9</v>
      </c>
      <c r="F24" s="3">
        <v>6</v>
      </c>
      <c r="G24" s="3">
        <v>0</v>
      </c>
      <c r="H24" s="3">
        <v>1</v>
      </c>
      <c r="I24" s="3">
        <v>1</v>
      </c>
      <c r="J24" s="3">
        <v>2</v>
      </c>
      <c r="K24" s="3">
        <v>0</v>
      </c>
      <c r="L24" s="3">
        <v>0</v>
      </c>
      <c r="M24" s="3">
        <v>0</v>
      </c>
      <c r="N24" s="20">
        <f>SUM(B24:M24)</f>
        <v>65</v>
      </c>
    </row>
    <row r="25" spans="1:14" ht="27" customHeight="1" x14ac:dyDescent="0.25">
      <c r="A25" s="4" t="str">
        <f>'7-8AM'!A25</f>
        <v>Kitale Bound</v>
      </c>
      <c r="B25" s="3">
        <v>22</v>
      </c>
      <c r="C25" s="3">
        <v>12</v>
      </c>
      <c r="D25" s="3">
        <v>7</v>
      </c>
      <c r="E25" s="3">
        <v>4</v>
      </c>
      <c r="F25" s="3">
        <v>12</v>
      </c>
      <c r="G25" s="3">
        <v>2</v>
      </c>
      <c r="H25" s="3">
        <v>0</v>
      </c>
      <c r="I25" s="3">
        <v>0</v>
      </c>
      <c r="J25" s="3">
        <v>1</v>
      </c>
      <c r="K25" s="3">
        <v>1</v>
      </c>
      <c r="L25" s="3">
        <v>0</v>
      </c>
      <c r="M25" s="3">
        <v>0</v>
      </c>
      <c r="N25" s="20">
        <f>SUM(B25:M25)</f>
        <v>61</v>
      </c>
    </row>
    <row r="26" spans="1:14" ht="27" customHeight="1" x14ac:dyDescent="0.25">
      <c r="A26" s="10" t="s">
        <v>19</v>
      </c>
      <c r="B26" s="11">
        <f t="shared" ref="B26:M26" si="2">SUM(B24:B25)</f>
        <v>41</v>
      </c>
      <c r="C26" s="11">
        <f t="shared" si="2"/>
        <v>28</v>
      </c>
      <c r="D26" s="11">
        <f t="shared" si="2"/>
        <v>18</v>
      </c>
      <c r="E26" s="11">
        <f t="shared" si="2"/>
        <v>13</v>
      </c>
      <c r="F26" s="11">
        <f t="shared" si="2"/>
        <v>18</v>
      </c>
      <c r="G26" s="11">
        <f t="shared" si="2"/>
        <v>2</v>
      </c>
      <c r="H26" s="11">
        <f t="shared" si="2"/>
        <v>1</v>
      </c>
      <c r="I26" s="11">
        <f t="shared" si="2"/>
        <v>1</v>
      </c>
      <c r="J26" s="11">
        <f t="shared" si="2"/>
        <v>3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126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28</v>
      </c>
      <c r="D28" s="18">
        <f t="shared" si="3"/>
        <v>18</v>
      </c>
      <c r="E28" s="18">
        <f t="shared" si="3"/>
        <v>13</v>
      </c>
      <c r="F28" s="18">
        <f t="shared" si="3"/>
        <v>18</v>
      </c>
      <c r="G28" s="18">
        <f t="shared" si="3"/>
        <v>2</v>
      </c>
      <c r="H28" s="18">
        <f t="shared" si="3"/>
        <v>2</v>
      </c>
      <c r="I28" s="18">
        <f t="shared" si="3"/>
        <v>1</v>
      </c>
      <c r="J28" s="18">
        <f t="shared" si="3"/>
        <v>3</v>
      </c>
      <c r="K28" s="18">
        <f t="shared" si="3"/>
        <v>2</v>
      </c>
      <c r="L28" s="18">
        <f t="shared" si="3"/>
        <v>0</v>
      </c>
      <c r="M28" s="18">
        <f t="shared" si="3"/>
        <v>0</v>
      </c>
      <c r="N28" s="19">
        <f>SUM(B28:M28)</f>
        <v>87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72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.75" customHeight="1" x14ac:dyDescent="0.25">
      <c r="A34" s="4" t="str">
        <f>'7-8AM'!A34</f>
        <v>Maili Tisa Bound</v>
      </c>
      <c r="B34" s="3">
        <v>23</v>
      </c>
      <c r="C34" s="3">
        <v>17</v>
      </c>
      <c r="D34" s="3">
        <v>6</v>
      </c>
      <c r="E34" s="3">
        <v>8</v>
      </c>
      <c r="F34" s="3">
        <v>6</v>
      </c>
      <c r="G34" s="3">
        <v>0</v>
      </c>
      <c r="H34" s="3">
        <v>0</v>
      </c>
      <c r="I34" s="3">
        <v>2</v>
      </c>
      <c r="J34" s="3">
        <v>1</v>
      </c>
      <c r="K34" s="3">
        <v>3</v>
      </c>
      <c r="L34" s="3">
        <v>0</v>
      </c>
      <c r="M34" s="3">
        <v>0</v>
      </c>
      <c r="N34" s="20">
        <f>SUM(B34:M34)</f>
        <v>66</v>
      </c>
    </row>
    <row r="35" spans="1:14" ht="30.75" customHeight="1" x14ac:dyDescent="0.25">
      <c r="A35" s="4" t="str">
        <f>'7-8AM'!A35</f>
        <v>Kitale Bound</v>
      </c>
      <c r="B35" s="3">
        <v>19</v>
      </c>
      <c r="C35" s="3">
        <v>19</v>
      </c>
      <c r="D35" s="3">
        <v>20</v>
      </c>
      <c r="E35" s="3">
        <v>3</v>
      </c>
      <c r="F35" s="3">
        <v>9</v>
      </c>
      <c r="G35" s="3">
        <v>2</v>
      </c>
      <c r="H35" s="3">
        <v>1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75</v>
      </c>
    </row>
    <row r="36" spans="1:14" ht="45" customHeight="1" x14ac:dyDescent="0.25">
      <c r="A36" s="10" t="s">
        <v>19</v>
      </c>
      <c r="B36" s="11">
        <f t="shared" ref="B36:M36" si="4">SUM(B34:B35)</f>
        <v>42</v>
      </c>
      <c r="C36" s="11">
        <f t="shared" si="4"/>
        <v>36</v>
      </c>
      <c r="D36" s="11">
        <f t="shared" si="4"/>
        <v>26</v>
      </c>
      <c r="E36" s="11">
        <f t="shared" si="4"/>
        <v>11</v>
      </c>
      <c r="F36" s="11">
        <f t="shared" si="4"/>
        <v>15</v>
      </c>
      <c r="G36" s="11">
        <f t="shared" si="4"/>
        <v>2</v>
      </c>
      <c r="H36" s="11">
        <f t="shared" si="4"/>
        <v>1</v>
      </c>
      <c r="I36" s="11">
        <f t="shared" si="4"/>
        <v>2</v>
      </c>
      <c r="J36" s="11">
        <f t="shared" si="4"/>
        <v>3</v>
      </c>
      <c r="K36" s="11">
        <f t="shared" si="4"/>
        <v>3</v>
      </c>
      <c r="L36" s="11">
        <f t="shared" si="4"/>
        <v>0</v>
      </c>
      <c r="M36" s="11">
        <f t="shared" si="4"/>
        <v>0</v>
      </c>
      <c r="N36" s="11">
        <f>SUM(B36:M36)</f>
        <v>141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36</v>
      </c>
      <c r="D38" s="18">
        <f t="shared" si="5"/>
        <v>26</v>
      </c>
      <c r="E38" s="18">
        <f t="shared" si="5"/>
        <v>11</v>
      </c>
      <c r="F38" s="18">
        <f t="shared" si="5"/>
        <v>15</v>
      </c>
      <c r="G38" s="18">
        <f t="shared" si="5"/>
        <v>2</v>
      </c>
      <c r="H38" s="18">
        <f t="shared" si="5"/>
        <v>2</v>
      </c>
      <c r="I38" s="18">
        <f t="shared" si="5"/>
        <v>2</v>
      </c>
      <c r="J38" s="18">
        <f t="shared" si="5"/>
        <v>3</v>
      </c>
      <c r="K38" s="18">
        <f t="shared" si="5"/>
        <v>6</v>
      </c>
      <c r="L38" s="18">
        <f t="shared" si="5"/>
        <v>0</v>
      </c>
      <c r="M38" s="18">
        <f t="shared" si="5"/>
        <v>0</v>
      </c>
      <c r="N38" s="19">
        <f>SUM(B38:M38)</f>
        <v>103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73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22</v>
      </c>
      <c r="C44" s="3">
        <v>15</v>
      </c>
      <c r="D44" s="3">
        <v>5</v>
      </c>
      <c r="E44" s="3">
        <v>3</v>
      </c>
      <c r="F44" s="3">
        <v>9</v>
      </c>
      <c r="G44" s="3">
        <v>0</v>
      </c>
      <c r="H44" s="3">
        <v>1</v>
      </c>
      <c r="I44" s="3">
        <v>0</v>
      </c>
      <c r="J44" s="3">
        <v>2</v>
      </c>
      <c r="K44" s="3">
        <v>0</v>
      </c>
      <c r="L44" s="3">
        <v>0</v>
      </c>
      <c r="M44" s="3">
        <v>0</v>
      </c>
      <c r="N44" s="20">
        <f>SUM(B44:M44)</f>
        <v>57</v>
      </c>
    </row>
    <row r="45" spans="1:14" ht="32.25" customHeight="1" x14ac:dyDescent="0.25">
      <c r="A45" s="4" t="str">
        <f>'7-8AM'!A45</f>
        <v>Kitale Bound</v>
      </c>
      <c r="B45" s="3">
        <v>19</v>
      </c>
      <c r="C45" s="3">
        <v>19</v>
      </c>
      <c r="D45" s="3">
        <v>7</v>
      </c>
      <c r="E45" s="3">
        <v>2</v>
      </c>
      <c r="F45" s="3">
        <v>4</v>
      </c>
      <c r="G45" s="3">
        <v>2</v>
      </c>
      <c r="H45" s="3">
        <v>0</v>
      </c>
      <c r="I45" s="3">
        <v>1</v>
      </c>
      <c r="J45" s="3">
        <v>3</v>
      </c>
      <c r="K45" s="3">
        <v>0</v>
      </c>
      <c r="L45" s="3">
        <v>0</v>
      </c>
      <c r="M45" s="3">
        <v>0</v>
      </c>
      <c r="N45" s="20">
        <f>SUM(B45:M45)</f>
        <v>57</v>
      </c>
    </row>
    <row r="46" spans="1:14" ht="27.75" customHeight="1" x14ac:dyDescent="0.25">
      <c r="A46" s="10" t="s">
        <v>19</v>
      </c>
      <c r="B46" s="11">
        <f t="shared" ref="B46:M46" si="6">SUM(B44:B45)</f>
        <v>41</v>
      </c>
      <c r="C46" s="11">
        <f t="shared" si="6"/>
        <v>34</v>
      </c>
      <c r="D46" s="11">
        <f t="shared" si="6"/>
        <v>12</v>
      </c>
      <c r="E46" s="11">
        <f t="shared" si="6"/>
        <v>5</v>
      </c>
      <c r="F46" s="11">
        <f t="shared" si="6"/>
        <v>13</v>
      </c>
      <c r="G46" s="11">
        <f t="shared" si="6"/>
        <v>2</v>
      </c>
      <c r="H46" s="11">
        <f t="shared" si="6"/>
        <v>1</v>
      </c>
      <c r="I46" s="11">
        <f t="shared" si="6"/>
        <v>1</v>
      </c>
      <c r="J46" s="11">
        <f t="shared" si="6"/>
        <v>5</v>
      </c>
      <c r="K46" s="11">
        <f t="shared" si="6"/>
        <v>0</v>
      </c>
      <c r="L46" s="11">
        <f t="shared" si="6"/>
        <v>0</v>
      </c>
      <c r="M46" s="11">
        <f t="shared" si="6"/>
        <v>0</v>
      </c>
      <c r="N46" s="11">
        <f>SUM(B46:M46)</f>
        <v>114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34</v>
      </c>
      <c r="D48" s="18">
        <f t="shared" si="7"/>
        <v>12</v>
      </c>
      <c r="E48" s="18">
        <f t="shared" si="7"/>
        <v>5</v>
      </c>
      <c r="F48" s="18">
        <f t="shared" si="7"/>
        <v>13</v>
      </c>
      <c r="G48" s="18">
        <f t="shared" si="7"/>
        <v>2</v>
      </c>
      <c r="H48" s="18">
        <f t="shared" si="7"/>
        <v>2</v>
      </c>
      <c r="I48" s="18">
        <f t="shared" si="7"/>
        <v>1</v>
      </c>
      <c r="J48" s="18">
        <f t="shared" si="7"/>
        <v>5</v>
      </c>
      <c r="K48" s="18">
        <f t="shared" si="7"/>
        <v>0</v>
      </c>
      <c r="L48" s="18">
        <f t="shared" si="7"/>
        <v>0</v>
      </c>
      <c r="M48" s="18">
        <f t="shared" si="7"/>
        <v>0</v>
      </c>
      <c r="N48" s="19">
        <f>SUM(B48:M48)</f>
        <v>74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74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87</v>
      </c>
      <c r="C56" s="3">
        <f t="shared" si="8"/>
        <v>62</v>
      </c>
      <c r="D56" s="3">
        <f t="shared" si="8"/>
        <v>29</v>
      </c>
      <c r="E56" s="3">
        <f t="shared" si="8"/>
        <v>23</v>
      </c>
      <c r="F56" s="3">
        <f t="shared" si="8"/>
        <v>24</v>
      </c>
      <c r="G56" s="3">
        <f t="shared" si="8"/>
        <v>0</v>
      </c>
      <c r="H56" s="3">
        <f t="shared" si="8"/>
        <v>2</v>
      </c>
      <c r="I56" s="3">
        <f t="shared" si="8"/>
        <v>4</v>
      </c>
      <c r="J56" s="3">
        <f t="shared" si="8"/>
        <v>6</v>
      </c>
      <c r="K56" s="3">
        <f t="shared" si="8"/>
        <v>3</v>
      </c>
      <c r="L56" s="3">
        <f t="shared" si="8"/>
        <v>0</v>
      </c>
      <c r="M56" s="3">
        <f t="shared" si="8"/>
        <v>0</v>
      </c>
      <c r="N56" s="20">
        <f>SUM(B56:M56)</f>
        <v>240</v>
      </c>
    </row>
    <row r="57" spans="1:14" x14ac:dyDescent="0.25">
      <c r="A57" s="4" t="str">
        <f>'7-8AM'!A57</f>
        <v>Kitale Bound</v>
      </c>
      <c r="B57" s="3">
        <f t="shared" ref="B57:M57" si="9">(B15+B25+B35+B45)</f>
        <v>76</v>
      </c>
      <c r="C57" s="3">
        <f t="shared" si="9"/>
        <v>69</v>
      </c>
      <c r="D57" s="3">
        <f t="shared" si="9"/>
        <v>38</v>
      </c>
      <c r="E57" s="3">
        <f t="shared" si="9"/>
        <v>11</v>
      </c>
      <c r="F57" s="3">
        <f t="shared" si="9"/>
        <v>29</v>
      </c>
      <c r="G57" s="3">
        <f t="shared" si="9"/>
        <v>6</v>
      </c>
      <c r="H57" s="3">
        <f t="shared" si="9"/>
        <v>3</v>
      </c>
      <c r="I57" s="3">
        <f t="shared" si="9"/>
        <v>1</v>
      </c>
      <c r="J57" s="3">
        <f t="shared" si="9"/>
        <v>7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241</v>
      </c>
    </row>
    <row r="58" spans="1:14" ht="27.75" customHeight="1" x14ac:dyDescent="0.25">
      <c r="A58" s="10" t="s">
        <v>19</v>
      </c>
      <c r="B58" s="11">
        <f t="shared" ref="B58:M58" si="10">SUM(B56:B57)</f>
        <v>163</v>
      </c>
      <c r="C58" s="11">
        <f t="shared" si="10"/>
        <v>131</v>
      </c>
      <c r="D58" s="11">
        <f t="shared" si="10"/>
        <v>67</v>
      </c>
      <c r="E58" s="11">
        <f t="shared" si="10"/>
        <v>34</v>
      </c>
      <c r="F58" s="11">
        <f t="shared" si="10"/>
        <v>53</v>
      </c>
      <c r="G58" s="11">
        <f t="shared" si="10"/>
        <v>6</v>
      </c>
      <c r="H58" s="11">
        <f t="shared" si="10"/>
        <v>5</v>
      </c>
      <c r="I58" s="11">
        <f t="shared" si="10"/>
        <v>5</v>
      </c>
      <c r="J58" s="11">
        <f t="shared" si="10"/>
        <v>13</v>
      </c>
      <c r="K58" s="11">
        <f t="shared" si="10"/>
        <v>4</v>
      </c>
      <c r="L58" s="11">
        <f t="shared" si="10"/>
        <v>0</v>
      </c>
      <c r="M58" s="11">
        <f t="shared" si="10"/>
        <v>0</v>
      </c>
      <c r="N58" s="11">
        <f>SUM(B58:M58)</f>
        <v>481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131</v>
      </c>
      <c r="D60" s="18">
        <f t="shared" si="11"/>
        <v>67</v>
      </c>
      <c r="E60" s="18">
        <f t="shared" si="11"/>
        <v>34</v>
      </c>
      <c r="F60" s="18">
        <f t="shared" si="11"/>
        <v>53</v>
      </c>
      <c r="G60" s="18">
        <f t="shared" si="11"/>
        <v>6</v>
      </c>
      <c r="H60" s="18">
        <f t="shared" si="11"/>
        <v>10</v>
      </c>
      <c r="I60" s="18">
        <f t="shared" si="11"/>
        <v>5</v>
      </c>
      <c r="J60" s="18">
        <f t="shared" si="11"/>
        <v>13</v>
      </c>
      <c r="K60" s="18">
        <f t="shared" si="11"/>
        <v>8</v>
      </c>
      <c r="L60" s="18">
        <f t="shared" si="11"/>
        <v>0</v>
      </c>
      <c r="M60" s="18">
        <f t="shared" si="11"/>
        <v>0</v>
      </c>
      <c r="N60" s="19">
        <f>SUM(B60:M60)</f>
        <v>327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9"/>
  <sheetViews>
    <sheetView topLeftCell="A38" workbookViewId="0">
      <selection activeCell="C15" sqref="C1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76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14</v>
      </c>
      <c r="C14" s="3">
        <v>20</v>
      </c>
      <c r="D14" s="3">
        <v>11</v>
      </c>
      <c r="E14" s="3">
        <v>1</v>
      </c>
      <c r="F14" s="3">
        <v>7</v>
      </c>
      <c r="G14" s="3">
        <v>0</v>
      </c>
      <c r="H14" s="3">
        <v>1</v>
      </c>
      <c r="I14" s="3">
        <v>0</v>
      </c>
      <c r="J14" s="3">
        <v>2</v>
      </c>
      <c r="K14" s="3">
        <v>1</v>
      </c>
      <c r="L14" s="3">
        <v>1</v>
      </c>
      <c r="M14" s="3">
        <v>0</v>
      </c>
      <c r="N14" s="20">
        <f>SUM(B14:M14)</f>
        <v>58</v>
      </c>
    </row>
    <row r="15" spans="1:14" x14ac:dyDescent="0.25">
      <c r="A15" s="4" t="str">
        <f>'7-8AM'!A15</f>
        <v>Kitale Bound</v>
      </c>
      <c r="B15" s="3">
        <v>22</v>
      </c>
      <c r="C15" s="3">
        <v>18</v>
      </c>
      <c r="D15" s="3">
        <v>6</v>
      </c>
      <c r="E15" s="3">
        <v>4</v>
      </c>
      <c r="F15" s="3">
        <v>3</v>
      </c>
      <c r="G15" s="3">
        <v>1</v>
      </c>
      <c r="H15" s="3">
        <v>0</v>
      </c>
      <c r="I15" s="3">
        <v>1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58</v>
      </c>
    </row>
    <row r="16" spans="1:14" ht="27" customHeight="1" x14ac:dyDescent="0.25">
      <c r="A16" s="10" t="s">
        <v>19</v>
      </c>
      <c r="B16" s="11">
        <f t="shared" ref="B16:M16" si="0">SUM(B14:B15)</f>
        <v>36</v>
      </c>
      <c r="C16" s="11">
        <f t="shared" si="0"/>
        <v>38</v>
      </c>
      <c r="D16" s="11">
        <f t="shared" si="0"/>
        <v>17</v>
      </c>
      <c r="E16" s="11">
        <f t="shared" si="0"/>
        <v>5</v>
      </c>
      <c r="F16" s="11">
        <f t="shared" si="0"/>
        <v>10</v>
      </c>
      <c r="G16" s="11">
        <f t="shared" si="0"/>
        <v>1</v>
      </c>
      <c r="H16" s="11">
        <f t="shared" si="0"/>
        <v>1</v>
      </c>
      <c r="I16" s="11">
        <f t="shared" si="0"/>
        <v>1</v>
      </c>
      <c r="J16" s="11">
        <f t="shared" si="0"/>
        <v>5</v>
      </c>
      <c r="K16" s="11">
        <f t="shared" si="0"/>
        <v>1</v>
      </c>
      <c r="L16" s="11">
        <f t="shared" si="0"/>
        <v>1</v>
      </c>
      <c r="M16" s="11">
        <f t="shared" si="0"/>
        <v>0</v>
      </c>
      <c r="N16" s="11">
        <f>SUM(B16:M16)</f>
        <v>116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38</v>
      </c>
      <c r="D18" s="18">
        <f t="shared" si="1"/>
        <v>17</v>
      </c>
      <c r="E18" s="18">
        <f t="shared" si="1"/>
        <v>5</v>
      </c>
      <c r="F18" s="18">
        <f t="shared" si="1"/>
        <v>10</v>
      </c>
      <c r="G18" s="18">
        <f t="shared" si="1"/>
        <v>1</v>
      </c>
      <c r="H18" s="18">
        <f t="shared" si="1"/>
        <v>2</v>
      </c>
      <c r="I18" s="18">
        <f t="shared" si="1"/>
        <v>1</v>
      </c>
      <c r="J18" s="18">
        <f t="shared" si="1"/>
        <v>5</v>
      </c>
      <c r="K18" s="18">
        <f t="shared" si="1"/>
        <v>2</v>
      </c>
      <c r="L18" s="18">
        <f t="shared" si="1"/>
        <v>2</v>
      </c>
      <c r="M18" s="18">
        <f t="shared" si="1"/>
        <v>0</v>
      </c>
      <c r="N18" s="19">
        <f>SUM(B18:M18)</f>
        <v>83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77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22</v>
      </c>
      <c r="C24" s="3">
        <v>14</v>
      </c>
      <c r="D24" s="3">
        <v>7</v>
      </c>
      <c r="E24" s="3">
        <v>0</v>
      </c>
      <c r="F24" s="3">
        <v>8</v>
      </c>
      <c r="G24" s="3">
        <v>0</v>
      </c>
      <c r="H24" s="3">
        <v>1</v>
      </c>
      <c r="I24" s="3">
        <v>0</v>
      </c>
      <c r="J24" s="3">
        <v>3</v>
      </c>
      <c r="K24" s="3">
        <v>1</v>
      </c>
      <c r="L24" s="3">
        <v>1</v>
      </c>
      <c r="M24" s="3">
        <v>0</v>
      </c>
      <c r="N24" s="20">
        <f>SUM(B24:M24)</f>
        <v>57</v>
      </c>
    </row>
    <row r="25" spans="1:14" ht="27" customHeight="1" x14ac:dyDescent="0.25">
      <c r="A25" s="4" t="str">
        <f>'7-8AM'!A25</f>
        <v>Kitale Bound</v>
      </c>
      <c r="B25" s="3">
        <v>17</v>
      </c>
      <c r="C25" s="3">
        <v>13</v>
      </c>
      <c r="D25" s="3">
        <v>4</v>
      </c>
      <c r="E25" s="3">
        <v>3</v>
      </c>
      <c r="F25" s="3">
        <v>5</v>
      </c>
      <c r="G25" s="3">
        <v>0</v>
      </c>
      <c r="H25" s="3">
        <v>0</v>
      </c>
      <c r="I25" s="3">
        <v>0</v>
      </c>
      <c r="J25" s="3">
        <v>4</v>
      </c>
      <c r="K25" s="3">
        <v>2</v>
      </c>
      <c r="L25" s="3">
        <v>0</v>
      </c>
      <c r="M25" s="3">
        <v>0</v>
      </c>
      <c r="N25" s="20">
        <f>SUM(B25:M25)</f>
        <v>48</v>
      </c>
    </row>
    <row r="26" spans="1:14" ht="27" customHeight="1" x14ac:dyDescent="0.25">
      <c r="A26" s="10" t="s">
        <v>19</v>
      </c>
      <c r="B26" s="11">
        <f t="shared" ref="B26:M26" si="2">SUM(B24:B25)</f>
        <v>39</v>
      </c>
      <c r="C26" s="11">
        <f t="shared" si="2"/>
        <v>27</v>
      </c>
      <c r="D26" s="11">
        <f t="shared" si="2"/>
        <v>11</v>
      </c>
      <c r="E26" s="11">
        <f t="shared" si="2"/>
        <v>3</v>
      </c>
      <c r="F26" s="11">
        <f t="shared" si="2"/>
        <v>13</v>
      </c>
      <c r="G26" s="11">
        <f t="shared" si="2"/>
        <v>0</v>
      </c>
      <c r="H26" s="11">
        <f t="shared" si="2"/>
        <v>1</v>
      </c>
      <c r="I26" s="11">
        <f t="shared" si="2"/>
        <v>0</v>
      </c>
      <c r="J26" s="11">
        <f t="shared" si="2"/>
        <v>7</v>
      </c>
      <c r="K26" s="11">
        <f t="shared" si="2"/>
        <v>3</v>
      </c>
      <c r="L26" s="11">
        <f t="shared" si="2"/>
        <v>1</v>
      </c>
      <c r="M26" s="11">
        <f t="shared" si="2"/>
        <v>0</v>
      </c>
      <c r="N26" s="11">
        <f>SUM(B26:M26)</f>
        <v>105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27</v>
      </c>
      <c r="D28" s="18">
        <f t="shared" si="3"/>
        <v>11</v>
      </c>
      <c r="E28" s="18">
        <f t="shared" si="3"/>
        <v>3</v>
      </c>
      <c r="F28" s="18">
        <f t="shared" si="3"/>
        <v>13</v>
      </c>
      <c r="G28" s="18">
        <f t="shared" si="3"/>
        <v>0</v>
      </c>
      <c r="H28" s="18">
        <f t="shared" si="3"/>
        <v>2</v>
      </c>
      <c r="I28" s="18">
        <f t="shared" si="3"/>
        <v>0</v>
      </c>
      <c r="J28" s="18">
        <f t="shared" si="3"/>
        <v>7</v>
      </c>
      <c r="K28" s="18">
        <f t="shared" si="3"/>
        <v>6</v>
      </c>
      <c r="L28" s="18">
        <f t="shared" si="3"/>
        <v>2</v>
      </c>
      <c r="M28" s="18">
        <f t="shared" si="3"/>
        <v>0</v>
      </c>
      <c r="N28" s="19">
        <f>SUM(B28:M28)</f>
        <v>71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78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8.5" customHeight="1" x14ac:dyDescent="0.25">
      <c r="A34" s="4" t="str">
        <f>'7-8AM'!A34</f>
        <v>Maili Tisa Bound</v>
      </c>
      <c r="B34" s="3">
        <v>21</v>
      </c>
      <c r="C34" s="3">
        <v>15</v>
      </c>
      <c r="D34" s="3">
        <v>4</v>
      </c>
      <c r="E34" s="3">
        <v>1</v>
      </c>
      <c r="F34" s="3">
        <v>11</v>
      </c>
      <c r="G34" s="3">
        <v>0</v>
      </c>
      <c r="H34" s="3">
        <v>1</v>
      </c>
      <c r="I34" s="3">
        <v>1</v>
      </c>
      <c r="J34" s="3">
        <v>2</v>
      </c>
      <c r="K34" s="3">
        <v>2</v>
      </c>
      <c r="L34" s="3">
        <v>1</v>
      </c>
      <c r="M34" s="3">
        <v>0</v>
      </c>
      <c r="N34" s="20">
        <f>SUM(B34:M34)</f>
        <v>59</v>
      </c>
    </row>
    <row r="35" spans="1:14" ht="28.5" customHeight="1" x14ac:dyDescent="0.25">
      <c r="A35" s="4" t="str">
        <f>'7-8AM'!A35</f>
        <v>Kitale Bound</v>
      </c>
      <c r="B35" s="3">
        <v>25</v>
      </c>
      <c r="C35" s="3">
        <v>21</v>
      </c>
      <c r="D35" s="3">
        <v>4</v>
      </c>
      <c r="E35" s="3">
        <v>2</v>
      </c>
      <c r="F35" s="3">
        <v>8</v>
      </c>
      <c r="G35" s="3">
        <v>0</v>
      </c>
      <c r="H35" s="3">
        <v>1</v>
      </c>
      <c r="I35" s="3">
        <v>1</v>
      </c>
      <c r="J35" s="3">
        <v>3</v>
      </c>
      <c r="K35" s="3">
        <v>1</v>
      </c>
      <c r="L35" s="3">
        <v>0</v>
      </c>
      <c r="M35" s="3">
        <v>0</v>
      </c>
      <c r="N35" s="20">
        <f>SUM(B35:M35)</f>
        <v>66</v>
      </c>
    </row>
    <row r="36" spans="1:14" ht="45" customHeight="1" x14ac:dyDescent="0.25">
      <c r="A36" s="10" t="s">
        <v>19</v>
      </c>
      <c r="B36" s="11">
        <f t="shared" ref="B36:M36" si="4">SUM(B34:B35)</f>
        <v>46</v>
      </c>
      <c r="C36" s="11">
        <f t="shared" si="4"/>
        <v>36</v>
      </c>
      <c r="D36" s="11">
        <f t="shared" si="4"/>
        <v>8</v>
      </c>
      <c r="E36" s="11">
        <f t="shared" si="4"/>
        <v>3</v>
      </c>
      <c r="F36" s="11">
        <f t="shared" si="4"/>
        <v>19</v>
      </c>
      <c r="G36" s="11">
        <f t="shared" si="4"/>
        <v>0</v>
      </c>
      <c r="H36" s="11">
        <f t="shared" si="4"/>
        <v>2</v>
      </c>
      <c r="I36" s="11">
        <f t="shared" si="4"/>
        <v>2</v>
      </c>
      <c r="J36" s="11">
        <f t="shared" si="4"/>
        <v>5</v>
      </c>
      <c r="K36" s="11">
        <f t="shared" si="4"/>
        <v>3</v>
      </c>
      <c r="L36" s="11">
        <f t="shared" si="4"/>
        <v>1</v>
      </c>
      <c r="M36" s="11">
        <f t="shared" si="4"/>
        <v>0</v>
      </c>
      <c r="N36" s="11">
        <f>SUM(B36:M36)</f>
        <v>125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36</v>
      </c>
      <c r="D38" s="18">
        <f t="shared" si="5"/>
        <v>8</v>
      </c>
      <c r="E38" s="18">
        <f t="shared" si="5"/>
        <v>3</v>
      </c>
      <c r="F38" s="18">
        <f t="shared" si="5"/>
        <v>19</v>
      </c>
      <c r="G38" s="18">
        <f t="shared" si="5"/>
        <v>0</v>
      </c>
      <c r="H38" s="18">
        <f t="shared" si="5"/>
        <v>4</v>
      </c>
      <c r="I38" s="18">
        <f t="shared" si="5"/>
        <v>2</v>
      </c>
      <c r="J38" s="18">
        <f t="shared" si="5"/>
        <v>5</v>
      </c>
      <c r="K38" s="18">
        <f t="shared" si="5"/>
        <v>6</v>
      </c>
      <c r="L38" s="18">
        <f t="shared" si="5"/>
        <v>2</v>
      </c>
      <c r="M38" s="18">
        <f t="shared" si="5"/>
        <v>0</v>
      </c>
      <c r="N38" s="19">
        <f>SUM(B38:M38)</f>
        <v>85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79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22</v>
      </c>
      <c r="C44" s="3">
        <v>16</v>
      </c>
      <c r="D44" s="3">
        <v>9</v>
      </c>
      <c r="E44" s="3">
        <v>2</v>
      </c>
      <c r="F44" s="3">
        <v>3</v>
      </c>
      <c r="G44" s="3">
        <v>0</v>
      </c>
      <c r="H44" s="3">
        <v>1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20">
        <f>SUM(B44:M44)</f>
        <v>54</v>
      </c>
    </row>
    <row r="45" spans="1:14" ht="32.25" customHeight="1" x14ac:dyDescent="0.25">
      <c r="A45" s="4" t="str">
        <f>'7-8AM'!A45</f>
        <v>Kitale Bound</v>
      </c>
      <c r="B45" s="3">
        <v>19</v>
      </c>
      <c r="C45" s="3">
        <v>14</v>
      </c>
      <c r="D45" s="3">
        <v>9</v>
      </c>
      <c r="E45" s="3">
        <v>3</v>
      </c>
      <c r="F45" s="3">
        <v>6</v>
      </c>
      <c r="G45" s="3">
        <v>0</v>
      </c>
      <c r="H45" s="3">
        <v>0</v>
      </c>
      <c r="I45" s="3">
        <v>1</v>
      </c>
      <c r="J45" s="3">
        <v>3</v>
      </c>
      <c r="K45" s="3">
        <v>1</v>
      </c>
      <c r="L45" s="3">
        <v>1</v>
      </c>
      <c r="M45" s="3">
        <v>0</v>
      </c>
      <c r="N45" s="20">
        <f>SUM(B45:M45)</f>
        <v>57</v>
      </c>
    </row>
    <row r="46" spans="1:14" ht="27.75" customHeight="1" x14ac:dyDescent="0.25">
      <c r="A46" s="10" t="s">
        <v>19</v>
      </c>
      <c r="B46" s="11">
        <f t="shared" ref="B46:M46" si="6">SUM(B44:B45)</f>
        <v>41</v>
      </c>
      <c r="C46" s="11">
        <f t="shared" si="6"/>
        <v>30</v>
      </c>
      <c r="D46" s="11">
        <f t="shared" si="6"/>
        <v>18</v>
      </c>
      <c r="E46" s="11">
        <f t="shared" si="6"/>
        <v>5</v>
      </c>
      <c r="F46" s="11">
        <f t="shared" si="6"/>
        <v>9</v>
      </c>
      <c r="G46" s="11">
        <f t="shared" si="6"/>
        <v>0</v>
      </c>
      <c r="H46" s="11">
        <f t="shared" si="6"/>
        <v>1</v>
      </c>
      <c r="I46" s="11">
        <f t="shared" si="6"/>
        <v>1</v>
      </c>
      <c r="J46" s="11">
        <f t="shared" si="6"/>
        <v>4</v>
      </c>
      <c r="K46" s="11">
        <f t="shared" si="6"/>
        <v>1</v>
      </c>
      <c r="L46" s="11">
        <f t="shared" si="6"/>
        <v>1</v>
      </c>
      <c r="M46" s="11">
        <f t="shared" si="6"/>
        <v>0</v>
      </c>
      <c r="N46" s="11">
        <f>SUM(B46:M46)</f>
        <v>111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30</v>
      </c>
      <c r="D48" s="18">
        <f t="shared" si="7"/>
        <v>18</v>
      </c>
      <c r="E48" s="18">
        <f t="shared" si="7"/>
        <v>5</v>
      </c>
      <c r="F48" s="18">
        <f t="shared" si="7"/>
        <v>9</v>
      </c>
      <c r="G48" s="18">
        <f t="shared" si="7"/>
        <v>0</v>
      </c>
      <c r="H48" s="18">
        <f t="shared" si="7"/>
        <v>2</v>
      </c>
      <c r="I48" s="18">
        <f t="shared" si="7"/>
        <v>1</v>
      </c>
      <c r="J48" s="18">
        <f t="shared" si="7"/>
        <v>4</v>
      </c>
      <c r="K48" s="18">
        <f t="shared" si="7"/>
        <v>2</v>
      </c>
      <c r="L48" s="18">
        <f t="shared" si="7"/>
        <v>2</v>
      </c>
      <c r="M48" s="18">
        <f t="shared" si="7"/>
        <v>0</v>
      </c>
      <c r="N48" s="19">
        <f>SUM(B48:M48)</f>
        <v>73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80</v>
      </c>
      <c r="N54" s="7" t="s">
        <v>17</v>
      </c>
    </row>
    <row r="55" spans="1:14" x14ac:dyDescent="0.25">
      <c r="A55" s="33" t="s">
        <v>81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B14+B24+B34+B44</f>
        <v>79</v>
      </c>
      <c r="C56" s="3">
        <f t="shared" si="8"/>
        <v>65</v>
      </c>
      <c r="D56" s="3">
        <f t="shared" si="8"/>
        <v>31</v>
      </c>
      <c r="E56" s="3">
        <f t="shared" si="8"/>
        <v>4</v>
      </c>
      <c r="F56" s="3">
        <f t="shared" si="8"/>
        <v>29</v>
      </c>
      <c r="G56" s="3">
        <f t="shared" si="8"/>
        <v>0</v>
      </c>
      <c r="H56" s="3">
        <f t="shared" si="8"/>
        <v>4</v>
      </c>
      <c r="I56" s="3">
        <f t="shared" si="8"/>
        <v>1</v>
      </c>
      <c r="J56" s="3">
        <f t="shared" si="8"/>
        <v>8</v>
      </c>
      <c r="K56" s="3">
        <f t="shared" si="8"/>
        <v>4</v>
      </c>
      <c r="L56" s="3">
        <f t="shared" si="8"/>
        <v>3</v>
      </c>
      <c r="M56" s="3">
        <f t="shared" si="8"/>
        <v>0</v>
      </c>
      <c r="N56" s="20">
        <f>SUM(B56:M56)</f>
        <v>228</v>
      </c>
    </row>
    <row r="57" spans="1:14" x14ac:dyDescent="0.25">
      <c r="A57" s="4" t="str">
        <f>'7-8AM'!A57</f>
        <v>Kitale Bound</v>
      </c>
      <c r="B57" s="3">
        <f t="shared" ref="B57:M57" si="9">B15+B25+B35+B45</f>
        <v>83</v>
      </c>
      <c r="C57" s="3">
        <f t="shared" si="9"/>
        <v>66</v>
      </c>
      <c r="D57" s="3">
        <f t="shared" si="9"/>
        <v>23</v>
      </c>
      <c r="E57" s="3">
        <f t="shared" si="9"/>
        <v>12</v>
      </c>
      <c r="F57" s="3">
        <f t="shared" si="9"/>
        <v>22</v>
      </c>
      <c r="G57" s="3">
        <f t="shared" si="9"/>
        <v>1</v>
      </c>
      <c r="H57" s="3">
        <f t="shared" si="9"/>
        <v>1</v>
      </c>
      <c r="I57" s="3">
        <f t="shared" si="9"/>
        <v>3</v>
      </c>
      <c r="J57" s="3">
        <f t="shared" si="9"/>
        <v>13</v>
      </c>
      <c r="K57" s="3">
        <f t="shared" si="9"/>
        <v>4</v>
      </c>
      <c r="L57" s="3">
        <f t="shared" si="9"/>
        <v>1</v>
      </c>
      <c r="M57" s="3">
        <f t="shared" si="9"/>
        <v>0</v>
      </c>
      <c r="N57" s="20">
        <f>SUM(B57:M57)</f>
        <v>229</v>
      </c>
    </row>
    <row r="58" spans="1:14" ht="27.75" customHeight="1" x14ac:dyDescent="0.25">
      <c r="A58" s="10" t="s">
        <v>19</v>
      </c>
      <c r="B58" s="11">
        <f t="shared" ref="B58:M58" si="10">SUM(B56:B57)</f>
        <v>162</v>
      </c>
      <c r="C58" s="11">
        <f t="shared" si="10"/>
        <v>131</v>
      </c>
      <c r="D58" s="11">
        <f t="shared" si="10"/>
        <v>54</v>
      </c>
      <c r="E58" s="11">
        <f t="shared" si="10"/>
        <v>16</v>
      </c>
      <c r="F58" s="11">
        <f t="shared" si="10"/>
        <v>51</v>
      </c>
      <c r="G58" s="11">
        <f t="shared" si="10"/>
        <v>1</v>
      </c>
      <c r="H58" s="11">
        <f t="shared" si="10"/>
        <v>5</v>
      </c>
      <c r="I58" s="11">
        <f t="shared" si="10"/>
        <v>4</v>
      </c>
      <c r="J58" s="11">
        <f t="shared" si="10"/>
        <v>21</v>
      </c>
      <c r="K58" s="11">
        <f t="shared" si="10"/>
        <v>8</v>
      </c>
      <c r="L58" s="11">
        <f t="shared" si="10"/>
        <v>4</v>
      </c>
      <c r="M58" s="11">
        <f t="shared" si="10"/>
        <v>0</v>
      </c>
      <c r="N58" s="11">
        <f>SUM(B58:M58)</f>
        <v>457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131</v>
      </c>
      <c r="D60" s="18">
        <f t="shared" si="11"/>
        <v>54</v>
      </c>
      <c r="E60" s="18">
        <f t="shared" si="11"/>
        <v>16</v>
      </c>
      <c r="F60" s="18">
        <f t="shared" si="11"/>
        <v>51</v>
      </c>
      <c r="G60" s="18">
        <f t="shared" si="11"/>
        <v>1</v>
      </c>
      <c r="H60" s="18">
        <f t="shared" si="11"/>
        <v>10</v>
      </c>
      <c r="I60" s="18">
        <f t="shared" si="11"/>
        <v>4</v>
      </c>
      <c r="J60" s="18">
        <f t="shared" si="11"/>
        <v>21</v>
      </c>
      <c r="K60" s="18">
        <f t="shared" si="11"/>
        <v>16</v>
      </c>
      <c r="L60" s="18">
        <f t="shared" si="11"/>
        <v>8</v>
      </c>
      <c r="M60" s="18">
        <f t="shared" si="11"/>
        <v>0</v>
      </c>
      <c r="N60" s="19">
        <f>SUM(B60:M60)</f>
        <v>312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9"/>
  <sheetViews>
    <sheetView topLeftCell="A13" workbookViewId="0">
      <selection activeCell="Q22" sqref="Q22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82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83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15</v>
      </c>
      <c r="C14" s="3">
        <v>24</v>
      </c>
      <c r="D14" s="3">
        <v>10</v>
      </c>
      <c r="E14" s="3">
        <v>2</v>
      </c>
      <c r="F14" s="3">
        <v>7</v>
      </c>
      <c r="G14" s="3">
        <v>0</v>
      </c>
      <c r="H14" s="3">
        <v>1</v>
      </c>
      <c r="I14" s="3">
        <v>1</v>
      </c>
      <c r="J14" s="3">
        <v>5</v>
      </c>
      <c r="K14" s="3">
        <v>0</v>
      </c>
      <c r="L14" s="3">
        <v>0</v>
      </c>
      <c r="M14" s="3">
        <v>0</v>
      </c>
      <c r="N14" s="20">
        <f>SUM(B14:M14)</f>
        <v>65</v>
      </c>
    </row>
    <row r="15" spans="1:14" x14ac:dyDescent="0.25">
      <c r="A15" s="4" t="str">
        <f>'7-8AM'!A15</f>
        <v>Kitale Bound</v>
      </c>
      <c r="B15" s="3">
        <v>18</v>
      </c>
      <c r="C15" s="3">
        <v>17</v>
      </c>
      <c r="D15" s="3">
        <v>7</v>
      </c>
      <c r="E15" s="3">
        <v>11</v>
      </c>
      <c r="F15" s="3">
        <v>6</v>
      </c>
      <c r="G15" s="3">
        <v>1</v>
      </c>
      <c r="H15" s="3">
        <v>0</v>
      </c>
      <c r="I15" s="3">
        <v>1</v>
      </c>
      <c r="J15" s="3">
        <v>4</v>
      </c>
      <c r="K15" s="3">
        <v>1</v>
      </c>
      <c r="L15" s="3">
        <v>0</v>
      </c>
      <c r="M15" s="3">
        <v>0</v>
      </c>
      <c r="N15" s="20">
        <f>SUM(B15:M15)</f>
        <v>66</v>
      </c>
    </row>
    <row r="16" spans="1:14" ht="27" customHeight="1" x14ac:dyDescent="0.25">
      <c r="A16" s="10" t="s">
        <v>19</v>
      </c>
      <c r="B16" s="11">
        <f t="shared" ref="B16:M16" si="0">SUM(B14:B15)</f>
        <v>33</v>
      </c>
      <c r="C16" s="11">
        <f t="shared" si="0"/>
        <v>41</v>
      </c>
      <c r="D16" s="11">
        <f t="shared" si="0"/>
        <v>17</v>
      </c>
      <c r="E16" s="11">
        <f t="shared" si="0"/>
        <v>13</v>
      </c>
      <c r="F16" s="11">
        <f t="shared" si="0"/>
        <v>13</v>
      </c>
      <c r="G16" s="11">
        <f t="shared" si="0"/>
        <v>1</v>
      </c>
      <c r="H16" s="11">
        <f t="shared" si="0"/>
        <v>1</v>
      </c>
      <c r="I16" s="11">
        <f t="shared" si="0"/>
        <v>2</v>
      </c>
      <c r="J16" s="11">
        <f t="shared" si="0"/>
        <v>9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131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41</v>
      </c>
      <c r="D18" s="18">
        <f t="shared" si="1"/>
        <v>17</v>
      </c>
      <c r="E18" s="18">
        <f t="shared" si="1"/>
        <v>13</v>
      </c>
      <c r="F18" s="18">
        <f t="shared" si="1"/>
        <v>13</v>
      </c>
      <c r="G18" s="18">
        <f t="shared" si="1"/>
        <v>1</v>
      </c>
      <c r="H18" s="18">
        <f t="shared" si="1"/>
        <v>2</v>
      </c>
      <c r="I18" s="18">
        <f t="shared" si="1"/>
        <v>2</v>
      </c>
      <c r="J18" s="18">
        <f t="shared" si="1"/>
        <v>9</v>
      </c>
      <c r="K18" s="18">
        <f t="shared" si="1"/>
        <v>2</v>
      </c>
      <c r="L18" s="18">
        <f t="shared" si="1"/>
        <v>0</v>
      </c>
      <c r="M18" s="18">
        <f t="shared" si="1"/>
        <v>0</v>
      </c>
      <c r="N18" s="19">
        <f>SUM(B18:M18)</f>
        <v>100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84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14</v>
      </c>
      <c r="C24" s="3">
        <v>33</v>
      </c>
      <c r="D24" s="3">
        <v>9</v>
      </c>
      <c r="E24" s="3">
        <v>2</v>
      </c>
      <c r="F24" s="3">
        <v>7</v>
      </c>
      <c r="G24" s="3">
        <v>1</v>
      </c>
      <c r="H24" s="3">
        <v>2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20">
        <f>SUM(B24:M24)</f>
        <v>71</v>
      </c>
    </row>
    <row r="25" spans="1:14" ht="29.25" customHeight="1" x14ac:dyDescent="0.25">
      <c r="A25" s="4" t="str">
        <f>'7-8AM'!A25</f>
        <v>Kitale Bound</v>
      </c>
      <c r="B25" s="3">
        <v>18</v>
      </c>
      <c r="C25" s="3">
        <v>19</v>
      </c>
      <c r="D25" s="3">
        <v>6</v>
      </c>
      <c r="E25" s="3">
        <v>4</v>
      </c>
      <c r="F25" s="3">
        <v>8</v>
      </c>
      <c r="G25" s="3">
        <v>0</v>
      </c>
      <c r="H25" s="3">
        <v>1</v>
      </c>
      <c r="I25" s="3">
        <v>1</v>
      </c>
      <c r="J25" s="3">
        <v>4</v>
      </c>
      <c r="K25" s="3">
        <v>0</v>
      </c>
      <c r="L25" s="3">
        <v>0</v>
      </c>
      <c r="M25" s="3">
        <v>0</v>
      </c>
      <c r="N25" s="20">
        <f>SUM(B25:M25)</f>
        <v>61</v>
      </c>
    </row>
    <row r="26" spans="1:14" ht="27" customHeight="1" x14ac:dyDescent="0.25">
      <c r="A26" s="10" t="s">
        <v>19</v>
      </c>
      <c r="B26" s="11">
        <f t="shared" ref="B26:M26" si="2">SUM(B24:B25)</f>
        <v>32</v>
      </c>
      <c r="C26" s="11">
        <f t="shared" si="2"/>
        <v>52</v>
      </c>
      <c r="D26" s="11">
        <f t="shared" si="2"/>
        <v>15</v>
      </c>
      <c r="E26" s="11">
        <f t="shared" si="2"/>
        <v>6</v>
      </c>
      <c r="F26" s="11">
        <f t="shared" si="2"/>
        <v>15</v>
      </c>
      <c r="G26" s="11">
        <f t="shared" si="2"/>
        <v>1</v>
      </c>
      <c r="H26" s="11">
        <f t="shared" si="2"/>
        <v>3</v>
      </c>
      <c r="I26" s="11">
        <f t="shared" si="2"/>
        <v>2</v>
      </c>
      <c r="J26" s="11">
        <f t="shared" si="2"/>
        <v>5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132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52</v>
      </c>
      <c r="D28" s="18">
        <f t="shared" si="3"/>
        <v>15</v>
      </c>
      <c r="E28" s="18">
        <f t="shared" si="3"/>
        <v>6</v>
      </c>
      <c r="F28" s="18">
        <f t="shared" si="3"/>
        <v>15</v>
      </c>
      <c r="G28" s="18">
        <f t="shared" si="3"/>
        <v>1</v>
      </c>
      <c r="H28" s="18">
        <f t="shared" si="3"/>
        <v>6</v>
      </c>
      <c r="I28" s="18">
        <f t="shared" si="3"/>
        <v>2</v>
      </c>
      <c r="J28" s="18">
        <f t="shared" si="3"/>
        <v>5</v>
      </c>
      <c r="K28" s="18">
        <f t="shared" si="3"/>
        <v>2</v>
      </c>
      <c r="L28" s="18">
        <f t="shared" si="3"/>
        <v>0</v>
      </c>
      <c r="M28" s="18">
        <f t="shared" si="3"/>
        <v>0</v>
      </c>
      <c r="N28" s="19">
        <f>SUM(B28:M28)</f>
        <v>104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85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" customHeight="1" x14ac:dyDescent="0.25">
      <c r="A34" s="4" t="str">
        <f>'7-8AM'!A34</f>
        <v>Maili Tisa Bound</v>
      </c>
      <c r="B34" s="3">
        <v>20</v>
      </c>
      <c r="C34" s="3">
        <v>21</v>
      </c>
      <c r="D34" s="3">
        <v>9</v>
      </c>
      <c r="E34" s="3">
        <v>3</v>
      </c>
      <c r="F34" s="3">
        <v>5</v>
      </c>
      <c r="G34" s="3">
        <v>0</v>
      </c>
      <c r="H34" s="3">
        <v>1</v>
      </c>
      <c r="I34" s="3">
        <v>0</v>
      </c>
      <c r="J34" s="3">
        <v>3</v>
      </c>
      <c r="K34" s="3">
        <v>1</v>
      </c>
      <c r="L34" s="3">
        <v>0</v>
      </c>
      <c r="M34" s="3">
        <v>0</v>
      </c>
      <c r="N34" s="20">
        <f>SUM(B34:M34)</f>
        <v>63</v>
      </c>
    </row>
    <row r="35" spans="1:14" ht="26.25" customHeight="1" x14ac:dyDescent="0.25">
      <c r="A35" s="4" t="str">
        <f>'7-8AM'!A35</f>
        <v>Kitale Bound</v>
      </c>
      <c r="B35" s="3">
        <v>15</v>
      </c>
      <c r="C35" s="3">
        <v>26</v>
      </c>
      <c r="D35" s="3">
        <v>7</v>
      </c>
      <c r="E35" s="3">
        <v>4</v>
      </c>
      <c r="F35" s="3">
        <v>4</v>
      </c>
      <c r="G35" s="3">
        <v>0</v>
      </c>
      <c r="H35" s="3">
        <v>1</v>
      </c>
      <c r="I35" s="3">
        <v>2</v>
      </c>
      <c r="J35" s="3">
        <v>3</v>
      </c>
      <c r="K35" s="3">
        <v>0</v>
      </c>
      <c r="L35" s="3">
        <v>0</v>
      </c>
      <c r="M35" s="3">
        <v>0</v>
      </c>
      <c r="N35" s="20">
        <f>SUM(B35:M35)</f>
        <v>62</v>
      </c>
    </row>
    <row r="36" spans="1:14" ht="45" customHeight="1" x14ac:dyDescent="0.25">
      <c r="A36" s="10" t="s">
        <v>19</v>
      </c>
      <c r="B36" s="11">
        <f t="shared" ref="B36:M36" si="4">SUM(B34:B35)</f>
        <v>35</v>
      </c>
      <c r="C36" s="11">
        <f t="shared" si="4"/>
        <v>47</v>
      </c>
      <c r="D36" s="11">
        <f t="shared" si="4"/>
        <v>16</v>
      </c>
      <c r="E36" s="11">
        <f t="shared" si="4"/>
        <v>7</v>
      </c>
      <c r="F36" s="11">
        <f t="shared" si="4"/>
        <v>9</v>
      </c>
      <c r="G36" s="11">
        <f t="shared" si="4"/>
        <v>0</v>
      </c>
      <c r="H36" s="11">
        <f t="shared" si="4"/>
        <v>2</v>
      </c>
      <c r="I36" s="11">
        <f t="shared" si="4"/>
        <v>2</v>
      </c>
      <c r="J36" s="11">
        <f t="shared" si="4"/>
        <v>6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125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47</v>
      </c>
      <c r="D38" s="18">
        <f t="shared" si="5"/>
        <v>16</v>
      </c>
      <c r="E38" s="18">
        <f t="shared" si="5"/>
        <v>7</v>
      </c>
      <c r="F38" s="18">
        <f t="shared" si="5"/>
        <v>9</v>
      </c>
      <c r="G38" s="18">
        <f t="shared" si="5"/>
        <v>0</v>
      </c>
      <c r="H38" s="18">
        <f t="shared" si="5"/>
        <v>4</v>
      </c>
      <c r="I38" s="18">
        <f t="shared" si="5"/>
        <v>2</v>
      </c>
      <c r="J38" s="18">
        <f t="shared" si="5"/>
        <v>6</v>
      </c>
      <c r="K38" s="18">
        <f t="shared" si="5"/>
        <v>2</v>
      </c>
      <c r="L38" s="18">
        <f t="shared" si="5"/>
        <v>0</v>
      </c>
      <c r="M38" s="18">
        <f t="shared" si="5"/>
        <v>0</v>
      </c>
      <c r="N38" s="19">
        <f>SUM(B38:M38)</f>
        <v>93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86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26</v>
      </c>
      <c r="C44" s="3">
        <v>27</v>
      </c>
      <c r="D44" s="3">
        <v>9</v>
      </c>
      <c r="E44" s="3">
        <v>1</v>
      </c>
      <c r="F44" s="3">
        <v>4</v>
      </c>
      <c r="G44" s="3">
        <v>0</v>
      </c>
      <c r="H44" s="3">
        <v>0</v>
      </c>
      <c r="I44" s="3">
        <v>1</v>
      </c>
      <c r="J44" s="3">
        <v>2</v>
      </c>
      <c r="K44" s="3">
        <v>1</v>
      </c>
      <c r="L44" s="3">
        <v>0</v>
      </c>
      <c r="M44" s="3">
        <v>0</v>
      </c>
      <c r="N44" s="20">
        <f>SUM(B44:M44)</f>
        <v>71</v>
      </c>
    </row>
    <row r="45" spans="1:14" ht="32.25" customHeight="1" x14ac:dyDescent="0.25">
      <c r="A45" s="4" t="str">
        <f>'7-8AM'!A45</f>
        <v>Kitale Bound</v>
      </c>
      <c r="B45" s="3">
        <v>16</v>
      </c>
      <c r="C45" s="3">
        <v>15</v>
      </c>
      <c r="D45" s="3">
        <v>11</v>
      </c>
      <c r="E45" s="3">
        <v>5</v>
      </c>
      <c r="F45" s="3">
        <v>3</v>
      </c>
      <c r="G45" s="3">
        <v>1</v>
      </c>
      <c r="H45" s="3">
        <v>1</v>
      </c>
      <c r="I45" s="3">
        <v>2</v>
      </c>
      <c r="J45" s="3">
        <v>4</v>
      </c>
      <c r="K45" s="3">
        <v>0</v>
      </c>
      <c r="L45" s="3">
        <v>1</v>
      </c>
      <c r="M45" s="3">
        <v>0</v>
      </c>
      <c r="N45" s="20">
        <f>SUM(B45:M45)</f>
        <v>59</v>
      </c>
    </row>
    <row r="46" spans="1:14" ht="27.75" customHeight="1" x14ac:dyDescent="0.25">
      <c r="A46" s="10" t="s">
        <v>19</v>
      </c>
      <c r="B46" s="11">
        <f t="shared" ref="B46:M46" si="6">SUM(B44:B45)</f>
        <v>42</v>
      </c>
      <c r="C46" s="11">
        <f t="shared" si="6"/>
        <v>42</v>
      </c>
      <c r="D46" s="11">
        <f t="shared" si="6"/>
        <v>20</v>
      </c>
      <c r="E46" s="11">
        <f t="shared" si="6"/>
        <v>6</v>
      </c>
      <c r="F46" s="11">
        <f t="shared" si="6"/>
        <v>7</v>
      </c>
      <c r="G46" s="11">
        <f t="shared" si="6"/>
        <v>1</v>
      </c>
      <c r="H46" s="11">
        <f t="shared" si="6"/>
        <v>1</v>
      </c>
      <c r="I46" s="11">
        <f t="shared" si="6"/>
        <v>3</v>
      </c>
      <c r="J46" s="11">
        <f t="shared" si="6"/>
        <v>6</v>
      </c>
      <c r="K46" s="11">
        <f t="shared" si="6"/>
        <v>1</v>
      </c>
      <c r="L46" s="11">
        <f t="shared" si="6"/>
        <v>1</v>
      </c>
      <c r="M46" s="11">
        <f t="shared" si="6"/>
        <v>0</v>
      </c>
      <c r="N46" s="11">
        <f>SUM(B46:M46)</f>
        <v>130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42</v>
      </c>
      <c r="D48" s="18">
        <f t="shared" si="7"/>
        <v>20</v>
      </c>
      <c r="E48" s="18">
        <f t="shared" si="7"/>
        <v>6</v>
      </c>
      <c r="F48" s="18">
        <f t="shared" si="7"/>
        <v>7</v>
      </c>
      <c r="G48" s="18">
        <f t="shared" si="7"/>
        <v>1</v>
      </c>
      <c r="H48" s="18">
        <f t="shared" si="7"/>
        <v>2</v>
      </c>
      <c r="I48" s="18">
        <f t="shared" si="7"/>
        <v>3</v>
      </c>
      <c r="J48" s="18">
        <f t="shared" si="7"/>
        <v>6</v>
      </c>
      <c r="K48" s="18">
        <f t="shared" si="7"/>
        <v>2</v>
      </c>
      <c r="L48" s="18">
        <f t="shared" si="7"/>
        <v>2</v>
      </c>
      <c r="M48" s="18">
        <f t="shared" si="7"/>
        <v>0</v>
      </c>
      <c r="N48" s="19">
        <f>SUM(B48:M48)</f>
        <v>91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87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75</v>
      </c>
      <c r="C56" s="3">
        <f t="shared" si="8"/>
        <v>105</v>
      </c>
      <c r="D56" s="3">
        <f t="shared" si="8"/>
        <v>37</v>
      </c>
      <c r="E56" s="3">
        <f t="shared" si="8"/>
        <v>8</v>
      </c>
      <c r="F56" s="3">
        <f t="shared" si="8"/>
        <v>23</v>
      </c>
      <c r="G56" s="3">
        <f t="shared" si="8"/>
        <v>1</v>
      </c>
      <c r="H56" s="3">
        <f t="shared" si="8"/>
        <v>4</v>
      </c>
      <c r="I56" s="3">
        <f t="shared" si="8"/>
        <v>3</v>
      </c>
      <c r="J56" s="3">
        <f t="shared" si="8"/>
        <v>11</v>
      </c>
      <c r="K56" s="3">
        <f t="shared" si="8"/>
        <v>3</v>
      </c>
      <c r="L56" s="3">
        <f t="shared" si="8"/>
        <v>0</v>
      </c>
      <c r="M56" s="3">
        <f t="shared" si="8"/>
        <v>0</v>
      </c>
      <c r="N56" s="20">
        <f>SUM(B56:M56)</f>
        <v>270</v>
      </c>
    </row>
    <row r="57" spans="1:14" ht="25.5" customHeight="1" x14ac:dyDescent="0.25">
      <c r="A57" s="4" t="str">
        <f>'7-8AM'!A57</f>
        <v>Kitale Bound</v>
      </c>
      <c r="B57" s="3">
        <f t="shared" ref="B57:M57" si="9">(B15+B25+B35+B45)</f>
        <v>67</v>
      </c>
      <c r="C57" s="3">
        <f t="shared" si="9"/>
        <v>77</v>
      </c>
      <c r="D57" s="3">
        <f t="shared" si="9"/>
        <v>31</v>
      </c>
      <c r="E57" s="3">
        <f t="shared" si="9"/>
        <v>24</v>
      </c>
      <c r="F57" s="3">
        <f t="shared" si="9"/>
        <v>21</v>
      </c>
      <c r="G57" s="3">
        <f t="shared" si="9"/>
        <v>2</v>
      </c>
      <c r="H57" s="3">
        <f t="shared" si="9"/>
        <v>3</v>
      </c>
      <c r="I57" s="3">
        <f t="shared" si="9"/>
        <v>6</v>
      </c>
      <c r="J57" s="3">
        <f t="shared" si="9"/>
        <v>15</v>
      </c>
      <c r="K57" s="3">
        <f t="shared" si="9"/>
        <v>1</v>
      </c>
      <c r="L57" s="3">
        <f t="shared" si="9"/>
        <v>1</v>
      </c>
      <c r="M57" s="3">
        <f t="shared" si="9"/>
        <v>0</v>
      </c>
      <c r="N57" s="20">
        <f>SUM(B57:M57)</f>
        <v>248</v>
      </c>
    </row>
    <row r="58" spans="1:14" ht="27.75" customHeight="1" x14ac:dyDescent="0.25">
      <c r="A58" s="10" t="s">
        <v>19</v>
      </c>
      <c r="B58" s="11">
        <f t="shared" ref="B58:M58" si="10">SUM(B56:B57)</f>
        <v>142</v>
      </c>
      <c r="C58" s="11">
        <f t="shared" si="10"/>
        <v>182</v>
      </c>
      <c r="D58" s="11">
        <f t="shared" si="10"/>
        <v>68</v>
      </c>
      <c r="E58" s="11">
        <f t="shared" si="10"/>
        <v>32</v>
      </c>
      <c r="F58" s="11">
        <f t="shared" si="10"/>
        <v>44</v>
      </c>
      <c r="G58" s="11">
        <f t="shared" si="10"/>
        <v>3</v>
      </c>
      <c r="H58" s="11">
        <f t="shared" si="10"/>
        <v>7</v>
      </c>
      <c r="I58" s="11">
        <f t="shared" si="10"/>
        <v>9</v>
      </c>
      <c r="J58" s="11">
        <f t="shared" si="10"/>
        <v>26</v>
      </c>
      <c r="K58" s="11">
        <f t="shared" si="10"/>
        <v>4</v>
      </c>
      <c r="L58" s="11">
        <f t="shared" si="10"/>
        <v>1</v>
      </c>
      <c r="M58" s="11">
        <f t="shared" si="10"/>
        <v>0</v>
      </c>
      <c r="N58" s="11">
        <f>SUM(B58:M58)</f>
        <v>518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182</v>
      </c>
      <c r="D60" s="18">
        <f t="shared" si="11"/>
        <v>68</v>
      </c>
      <c r="E60" s="18">
        <f t="shared" si="11"/>
        <v>32</v>
      </c>
      <c r="F60" s="18">
        <f t="shared" si="11"/>
        <v>44</v>
      </c>
      <c r="G60" s="18">
        <f t="shared" si="11"/>
        <v>3</v>
      </c>
      <c r="H60" s="18">
        <f t="shared" si="11"/>
        <v>14</v>
      </c>
      <c r="I60" s="18">
        <f t="shared" si="11"/>
        <v>9</v>
      </c>
      <c r="J60" s="18">
        <f t="shared" si="11"/>
        <v>26</v>
      </c>
      <c r="K60" s="18">
        <f t="shared" si="11"/>
        <v>8</v>
      </c>
      <c r="L60" s="18">
        <f t="shared" si="11"/>
        <v>2</v>
      </c>
      <c r="M60" s="18">
        <f t="shared" si="11"/>
        <v>0</v>
      </c>
      <c r="N60" s="19">
        <f>SUM(B60:M60)</f>
        <v>388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9"/>
  <sheetViews>
    <sheetView topLeftCell="A53" zoomScale="98" zoomScaleNormal="98" workbookViewId="0">
      <selection activeCell="L35" sqref="L35"/>
    </sheetView>
  </sheetViews>
  <sheetFormatPr defaultRowHeight="15" x14ac:dyDescent="0.25"/>
  <cols>
    <col min="1" max="1" width="12.5703125" customWidth="1"/>
  </cols>
  <sheetData>
    <row r="1" spans="1:14" x14ac:dyDescent="0.25">
      <c r="A1" s="29" t="s">
        <v>88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" customHeight="1" x14ac:dyDescent="0.25"/>
    <row r="12" spans="1:14" ht="71.25" customHeight="1" x14ac:dyDescent="0.25">
      <c r="A12" s="1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7" t="s">
        <v>17</v>
      </c>
    </row>
    <row r="13" spans="1:14" x14ac:dyDescent="0.25">
      <c r="A13" s="33" t="s">
        <v>89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8"/>
    </row>
    <row r="14" spans="1:14" x14ac:dyDescent="0.25">
      <c r="A14" s="4" t="str">
        <f>'7-8AM'!A14</f>
        <v>Maili Tisa Bound</v>
      </c>
      <c r="B14" s="3">
        <v>24</v>
      </c>
      <c r="C14" s="3">
        <v>28</v>
      </c>
      <c r="D14" s="3">
        <v>9</v>
      </c>
      <c r="E14" s="3">
        <v>3</v>
      </c>
      <c r="F14" s="3">
        <v>1</v>
      </c>
      <c r="G14" s="3">
        <v>0</v>
      </c>
      <c r="H14" s="3">
        <v>1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20">
        <f>SUM(B14:M14)</f>
        <v>68</v>
      </c>
    </row>
    <row r="15" spans="1:14" ht="32.25" customHeight="1" x14ac:dyDescent="0.25">
      <c r="A15" s="4" t="str">
        <f>'7-8AM'!A15</f>
        <v>Kitale Bound</v>
      </c>
      <c r="B15" s="3">
        <v>18</v>
      </c>
      <c r="C15" s="3">
        <v>23</v>
      </c>
      <c r="D15" s="3">
        <v>18</v>
      </c>
      <c r="E15" s="3">
        <v>7</v>
      </c>
      <c r="F15" s="3">
        <v>2</v>
      </c>
      <c r="G15" s="3">
        <v>0</v>
      </c>
      <c r="H15" s="3">
        <v>1</v>
      </c>
      <c r="I15" s="3">
        <v>1</v>
      </c>
      <c r="J15" s="3">
        <v>2</v>
      </c>
      <c r="K15" s="3">
        <v>1</v>
      </c>
      <c r="L15" s="3">
        <v>0</v>
      </c>
      <c r="M15" s="3">
        <v>0</v>
      </c>
      <c r="N15" s="20">
        <f>SUM(B15:M15)</f>
        <v>73</v>
      </c>
    </row>
    <row r="16" spans="1:14" ht="27" customHeight="1" x14ac:dyDescent="0.25">
      <c r="A16" s="10" t="s">
        <v>19</v>
      </c>
      <c r="B16" s="11">
        <f t="shared" ref="B16:M16" si="0">SUM(B14:B15)</f>
        <v>42</v>
      </c>
      <c r="C16" s="11">
        <f t="shared" si="0"/>
        <v>51</v>
      </c>
      <c r="D16" s="11">
        <f t="shared" si="0"/>
        <v>27</v>
      </c>
      <c r="E16" s="11">
        <f t="shared" si="0"/>
        <v>10</v>
      </c>
      <c r="F16" s="11">
        <f t="shared" si="0"/>
        <v>3</v>
      </c>
      <c r="G16" s="11">
        <f t="shared" si="0"/>
        <v>0</v>
      </c>
      <c r="H16" s="11">
        <f t="shared" si="0"/>
        <v>2</v>
      </c>
      <c r="I16" s="11">
        <f t="shared" si="0"/>
        <v>1</v>
      </c>
      <c r="J16" s="11">
        <f t="shared" si="0"/>
        <v>3</v>
      </c>
      <c r="K16" s="11">
        <f t="shared" si="0"/>
        <v>2</v>
      </c>
      <c r="L16" s="11">
        <f t="shared" si="0"/>
        <v>0</v>
      </c>
      <c r="M16" s="11">
        <f t="shared" si="0"/>
        <v>0</v>
      </c>
      <c r="N16" s="11">
        <f>SUM(B16:M16)</f>
        <v>141</v>
      </c>
    </row>
    <row r="17" spans="1:14" ht="30" customHeight="1" x14ac:dyDescent="0.25">
      <c r="A17" s="16" t="s">
        <v>20</v>
      </c>
      <c r="B17" s="17">
        <v>0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2</v>
      </c>
      <c r="L17" s="17">
        <v>2</v>
      </c>
      <c r="M17" s="17">
        <v>1</v>
      </c>
      <c r="N17" s="8"/>
    </row>
    <row r="18" spans="1:14" ht="47.25" customHeight="1" x14ac:dyDescent="0.25">
      <c r="A18" s="9" t="s">
        <v>21</v>
      </c>
      <c r="B18" s="18">
        <f t="shared" ref="B18:M18" si="1">B16*B17</f>
        <v>0</v>
      </c>
      <c r="C18" s="18">
        <f t="shared" si="1"/>
        <v>51</v>
      </c>
      <c r="D18" s="18">
        <f t="shared" si="1"/>
        <v>27</v>
      </c>
      <c r="E18" s="18">
        <f t="shared" si="1"/>
        <v>10</v>
      </c>
      <c r="F18" s="18">
        <f t="shared" si="1"/>
        <v>3</v>
      </c>
      <c r="G18" s="18">
        <f t="shared" si="1"/>
        <v>0</v>
      </c>
      <c r="H18" s="18">
        <f t="shared" si="1"/>
        <v>4</v>
      </c>
      <c r="I18" s="18">
        <f t="shared" si="1"/>
        <v>1</v>
      </c>
      <c r="J18" s="18">
        <f t="shared" si="1"/>
        <v>3</v>
      </c>
      <c r="K18" s="18">
        <f t="shared" si="1"/>
        <v>4</v>
      </c>
      <c r="L18" s="18">
        <f t="shared" si="1"/>
        <v>0</v>
      </c>
      <c r="M18" s="18">
        <f t="shared" si="1"/>
        <v>0</v>
      </c>
      <c r="N18" s="19">
        <f>SUM(B18:M18)</f>
        <v>103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2" t="s">
        <v>16</v>
      </c>
      <c r="N22" s="7" t="s">
        <v>17</v>
      </c>
    </row>
    <row r="23" spans="1:14" x14ac:dyDescent="0.25">
      <c r="A23" s="33" t="s">
        <v>90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8"/>
    </row>
    <row r="24" spans="1:14" ht="30" customHeight="1" x14ac:dyDescent="0.25">
      <c r="A24" s="4" t="str">
        <f>'7-8AM'!A24</f>
        <v>Maili Tisa Bound</v>
      </c>
      <c r="B24" s="3">
        <v>22</v>
      </c>
      <c r="C24" s="3">
        <v>20</v>
      </c>
      <c r="D24" s="3">
        <v>7</v>
      </c>
      <c r="E24" s="3">
        <v>4</v>
      </c>
      <c r="F24" s="3">
        <v>13</v>
      </c>
      <c r="G24" s="3">
        <v>4</v>
      </c>
      <c r="H24" s="3">
        <v>2</v>
      </c>
      <c r="I24" s="3">
        <v>1</v>
      </c>
      <c r="J24" s="3">
        <v>4</v>
      </c>
      <c r="K24" s="3">
        <v>2</v>
      </c>
      <c r="L24" s="3">
        <v>0</v>
      </c>
      <c r="M24" s="3">
        <v>0</v>
      </c>
      <c r="N24" s="20">
        <f>SUM(B24:M24)</f>
        <v>79</v>
      </c>
    </row>
    <row r="25" spans="1:14" ht="27.75" customHeight="1" x14ac:dyDescent="0.25">
      <c r="A25" s="4" t="str">
        <f>'7-8AM'!A25</f>
        <v>Kitale Bound</v>
      </c>
      <c r="B25" s="3">
        <v>14</v>
      </c>
      <c r="C25" s="3">
        <v>26</v>
      </c>
      <c r="D25" s="3">
        <v>12</v>
      </c>
      <c r="E25" s="3">
        <v>5</v>
      </c>
      <c r="F25" s="3">
        <v>9</v>
      </c>
      <c r="G25" s="3">
        <v>0</v>
      </c>
      <c r="H25" s="3">
        <v>0</v>
      </c>
      <c r="I25" s="3">
        <v>1</v>
      </c>
      <c r="J25" s="3">
        <v>5</v>
      </c>
      <c r="K25" s="3">
        <v>0</v>
      </c>
      <c r="L25" s="3">
        <v>1</v>
      </c>
      <c r="M25" s="3">
        <v>0</v>
      </c>
      <c r="N25" s="20">
        <f>SUM(B25:M25)</f>
        <v>73</v>
      </c>
    </row>
    <row r="26" spans="1:14" ht="27" customHeight="1" x14ac:dyDescent="0.25">
      <c r="A26" s="10" t="s">
        <v>19</v>
      </c>
      <c r="B26" s="11">
        <f t="shared" ref="B26:M26" si="2">SUM(B24:B25)</f>
        <v>36</v>
      </c>
      <c r="C26" s="11">
        <f t="shared" si="2"/>
        <v>46</v>
      </c>
      <c r="D26" s="11">
        <f t="shared" si="2"/>
        <v>19</v>
      </c>
      <c r="E26" s="11">
        <f t="shared" si="2"/>
        <v>9</v>
      </c>
      <c r="F26" s="11">
        <f t="shared" si="2"/>
        <v>22</v>
      </c>
      <c r="G26" s="11">
        <f t="shared" si="2"/>
        <v>4</v>
      </c>
      <c r="H26" s="11">
        <f t="shared" si="2"/>
        <v>2</v>
      </c>
      <c r="I26" s="11">
        <f t="shared" si="2"/>
        <v>2</v>
      </c>
      <c r="J26" s="11">
        <f t="shared" si="2"/>
        <v>9</v>
      </c>
      <c r="K26" s="11">
        <f t="shared" si="2"/>
        <v>2</v>
      </c>
      <c r="L26" s="11">
        <f t="shared" si="2"/>
        <v>1</v>
      </c>
      <c r="M26" s="11">
        <f t="shared" si="2"/>
        <v>0</v>
      </c>
      <c r="N26" s="11">
        <f>SUM(B26:M26)</f>
        <v>152</v>
      </c>
    </row>
    <row r="27" spans="1:14" ht="30" customHeight="1" x14ac:dyDescent="0.25">
      <c r="A27" s="16" t="s">
        <v>20</v>
      </c>
      <c r="B27" s="17">
        <v>0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2</v>
      </c>
      <c r="I27" s="17">
        <v>1</v>
      </c>
      <c r="J27" s="17">
        <v>1</v>
      </c>
      <c r="K27" s="17">
        <v>2</v>
      </c>
      <c r="L27" s="17">
        <v>2</v>
      </c>
      <c r="M27" s="17">
        <v>1</v>
      </c>
      <c r="N27" s="8"/>
    </row>
    <row r="28" spans="1:14" ht="45" customHeight="1" x14ac:dyDescent="0.25">
      <c r="A28" s="9" t="s">
        <v>21</v>
      </c>
      <c r="B28" s="18">
        <f t="shared" ref="B28:M28" si="3">B26*B27</f>
        <v>0</v>
      </c>
      <c r="C28" s="18">
        <f t="shared" si="3"/>
        <v>46</v>
      </c>
      <c r="D28" s="18">
        <f t="shared" si="3"/>
        <v>19</v>
      </c>
      <c r="E28" s="18">
        <f t="shared" si="3"/>
        <v>9</v>
      </c>
      <c r="F28" s="18">
        <f t="shared" si="3"/>
        <v>22</v>
      </c>
      <c r="G28" s="18">
        <f t="shared" si="3"/>
        <v>4</v>
      </c>
      <c r="H28" s="18">
        <f t="shared" si="3"/>
        <v>4</v>
      </c>
      <c r="I28" s="18">
        <f t="shared" si="3"/>
        <v>2</v>
      </c>
      <c r="J28" s="18">
        <f t="shared" si="3"/>
        <v>9</v>
      </c>
      <c r="K28" s="18">
        <f t="shared" si="3"/>
        <v>4</v>
      </c>
      <c r="L28" s="18">
        <f t="shared" si="3"/>
        <v>2</v>
      </c>
      <c r="M28" s="18">
        <f t="shared" si="3"/>
        <v>0</v>
      </c>
      <c r="N28" s="19">
        <f>SUM(B28:M28)</f>
        <v>121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7" t="s">
        <v>17</v>
      </c>
    </row>
    <row r="33" spans="1:14" x14ac:dyDescent="0.25">
      <c r="A33" s="33" t="s">
        <v>91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8"/>
    </row>
    <row r="34" spans="1:14" ht="27.75" customHeight="1" x14ac:dyDescent="0.25">
      <c r="A34" s="4" t="str">
        <f>'7-8AM'!A34</f>
        <v>Maili Tisa Bound</v>
      </c>
      <c r="B34" s="3">
        <v>23</v>
      </c>
      <c r="C34" s="3">
        <v>19</v>
      </c>
      <c r="D34" s="3">
        <v>7</v>
      </c>
      <c r="E34" s="3">
        <v>3</v>
      </c>
      <c r="F34" s="3">
        <v>8</v>
      </c>
      <c r="G34" s="3">
        <v>2</v>
      </c>
      <c r="H34" s="3">
        <v>1</v>
      </c>
      <c r="I34" s="3">
        <v>0</v>
      </c>
      <c r="J34" s="3">
        <v>1</v>
      </c>
      <c r="K34" s="3">
        <v>2</v>
      </c>
      <c r="L34" s="3">
        <f>0</f>
        <v>0</v>
      </c>
      <c r="M34" s="3">
        <v>0</v>
      </c>
      <c r="N34" s="20">
        <f>SUM(B34:M34)</f>
        <v>66</v>
      </c>
    </row>
    <row r="35" spans="1:14" ht="31.5" customHeight="1" x14ac:dyDescent="0.25">
      <c r="A35" s="4" t="str">
        <f>'7-8AM'!A35</f>
        <v>Kitale Bound</v>
      </c>
      <c r="B35" s="3">
        <v>18</v>
      </c>
      <c r="C35" s="3">
        <v>24</v>
      </c>
      <c r="D35" s="3">
        <v>1</v>
      </c>
      <c r="E35" s="3">
        <v>5</v>
      </c>
      <c r="F35" s="3">
        <v>4</v>
      </c>
      <c r="G35" s="3">
        <v>1</v>
      </c>
      <c r="H35" s="3">
        <v>0</v>
      </c>
      <c r="I35" s="3">
        <v>0</v>
      </c>
      <c r="J35" s="3">
        <v>4</v>
      </c>
      <c r="K35" s="3">
        <v>0</v>
      </c>
      <c r="L35" s="3">
        <v>0</v>
      </c>
      <c r="M35" s="3">
        <v>0</v>
      </c>
      <c r="N35" s="20">
        <f>SUM(B35:M35)</f>
        <v>57</v>
      </c>
    </row>
    <row r="36" spans="1:14" ht="45" customHeight="1" x14ac:dyDescent="0.25">
      <c r="A36" s="10" t="s">
        <v>19</v>
      </c>
      <c r="B36" s="11">
        <f t="shared" ref="B36:G36" si="4">SUM(B34:B35)</f>
        <v>41</v>
      </c>
      <c r="C36" s="11">
        <f t="shared" si="4"/>
        <v>43</v>
      </c>
      <c r="D36" s="11">
        <f t="shared" si="4"/>
        <v>8</v>
      </c>
      <c r="E36" s="11">
        <f t="shared" si="4"/>
        <v>8</v>
      </c>
      <c r="F36" s="11">
        <f t="shared" si="4"/>
        <v>12</v>
      </c>
      <c r="G36" s="11">
        <f t="shared" si="4"/>
        <v>3</v>
      </c>
      <c r="H36" s="11">
        <v>0</v>
      </c>
      <c r="I36" s="11">
        <f>SUM(I34:I35)</f>
        <v>0</v>
      </c>
      <c r="J36" s="11">
        <f>SUM(J34:J35)</f>
        <v>5</v>
      </c>
      <c r="K36" s="11">
        <f>SUM(K34:K35)</f>
        <v>2</v>
      </c>
      <c r="L36" s="11">
        <f>SUM(L34:L35)</f>
        <v>0</v>
      </c>
      <c r="M36" s="11">
        <f>SUM(M34:M35)</f>
        <v>0</v>
      </c>
      <c r="N36" s="11">
        <f>SUM(B36:M36)</f>
        <v>122</v>
      </c>
    </row>
    <row r="37" spans="1:14" ht="30.75" customHeight="1" x14ac:dyDescent="0.25">
      <c r="A37" s="16" t="s">
        <v>20</v>
      </c>
      <c r="B37" s="17">
        <v>0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2</v>
      </c>
      <c r="I37" s="17">
        <v>1</v>
      </c>
      <c r="J37" s="17">
        <v>1</v>
      </c>
      <c r="K37" s="17">
        <v>2</v>
      </c>
      <c r="L37" s="17">
        <v>2</v>
      </c>
      <c r="M37" s="17">
        <v>1</v>
      </c>
      <c r="N37" s="8"/>
    </row>
    <row r="38" spans="1:14" ht="45" customHeight="1" x14ac:dyDescent="0.25">
      <c r="A38" s="9" t="s">
        <v>21</v>
      </c>
      <c r="B38" s="18">
        <f t="shared" ref="B38:M38" si="5">B36*B37</f>
        <v>0</v>
      </c>
      <c r="C38" s="18">
        <f t="shared" si="5"/>
        <v>43</v>
      </c>
      <c r="D38" s="18">
        <f t="shared" si="5"/>
        <v>8</v>
      </c>
      <c r="E38" s="18">
        <f t="shared" si="5"/>
        <v>8</v>
      </c>
      <c r="F38" s="18">
        <f t="shared" si="5"/>
        <v>12</v>
      </c>
      <c r="G38" s="18">
        <f t="shared" si="5"/>
        <v>3</v>
      </c>
      <c r="H38" s="18">
        <f t="shared" si="5"/>
        <v>0</v>
      </c>
      <c r="I38" s="18">
        <f t="shared" si="5"/>
        <v>0</v>
      </c>
      <c r="J38" s="18">
        <f t="shared" si="5"/>
        <v>5</v>
      </c>
      <c r="K38" s="18">
        <f t="shared" si="5"/>
        <v>4</v>
      </c>
      <c r="L38" s="18">
        <f t="shared" si="5"/>
        <v>0</v>
      </c>
      <c r="M38" s="18">
        <f t="shared" si="5"/>
        <v>0</v>
      </c>
      <c r="N38" s="19">
        <f>SUM(B38:M38)</f>
        <v>83</v>
      </c>
    </row>
    <row r="42" spans="1:14" ht="53.25" customHeight="1" x14ac:dyDescent="0.25">
      <c r="A42" s="1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7" t="s">
        <v>17</v>
      </c>
    </row>
    <row r="43" spans="1:14" x14ac:dyDescent="0.25">
      <c r="A43" s="33" t="s">
        <v>92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8"/>
    </row>
    <row r="44" spans="1:14" ht="30" customHeight="1" x14ac:dyDescent="0.25">
      <c r="A44" s="4" t="str">
        <f>'7-8AM'!A44</f>
        <v>Maili Tisa Bound</v>
      </c>
      <c r="B44" s="3">
        <v>26</v>
      </c>
      <c r="C44" s="3">
        <v>22</v>
      </c>
      <c r="D44" s="3">
        <v>6</v>
      </c>
      <c r="E44" s="3">
        <v>4</v>
      </c>
      <c r="F44" s="3">
        <v>4</v>
      </c>
      <c r="G44" s="3">
        <v>0</v>
      </c>
      <c r="H44" s="3">
        <v>0</v>
      </c>
      <c r="I44" s="3">
        <v>1</v>
      </c>
      <c r="J44" s="3">
        <v>2</v>
      </c>
      <c r="K44" s="3">
        <v>1</v>
      </c>
      <c r="L44" s="3">
        <v>0</v>
      </c>
      <c r="M44" s="3">
        <v>0</v>
      </c>
      <c r="N44" s="20">
        <f>SUM(B44:M44)</f>
        <v>66</v>
      </c>
    </row>
    <row r="45" spans="1:14" ht="32.25" customHeight="1" x14ac:dyDescent="0.25">
      <c r="A45" s="4" t="str">
        <f>'7-8AM'!A45</f>
        <v>Kitale Bound</v>
      </c>
      <c r="B45" s="3">
        <v>16</v>
      </c>
      <c r="C45" s="3">
        <v>18</v>
      </c>
      <c r="D45" s="3">
        <v>9</v>
      </c>
      <c r="E45" s="3">
        <v>2</v>
      </c>
      <c r="F45" s="3">
        <v>6</v>
      </c>
      <c r="G45" s="3">
        <v>1</v>
      </c>
      <c r="H45" s="3">
        <v>0</v>
      </c>
      <c r="I45" s="3">
        <v>0</v>
      </c>
      <c r="J45" s="3">
        <v>4</v>
      </c>
      <c r="K45" s="3">
        <v>1</v>
      </c>
      <c r="L45" s="3">
        <v>1</v>
      </c>
      <c r="M45" s="3">
        <v>0</v>
      </c>
      <c r="N45" s="20">
        <f>SUM(B45:M45)</f>
        <v>58</v>
      </c>
    </row>
    <row r="46" spans="1:14" ht="27.75" customHeight="1" x14ac:dyDescent="0.25">
      <c r="A46" s="10" t="s">
        <v>19</v>
      </c>
      <c r="B46" s="11">
        <f t="shared" ref="B46:M46" si="6">SUM(B44:B45)</f>
        <v>42</v>
      </c>
      <c r="C46" s="11">
        <f t="shared" si="6"/>
        <v>40</v>
      </c>
      <c r="D46" s="11">
        <f t="shared" si="6"/>
        <v>15</v>
      </c>
      <c r="E46" s="11">
        <f t="shared" si="6"/>
        <v>6</v>
      </c>
      <c r="F46" s="11">
        <f t="shared" si="6"/>
        <v>10</v>
      </c>
      <c r="G46" s="11">
        <f t="shared" si="6"/>
        <v>1</v>
      </c>
      <c r="H46" s="11">
        <f t="shared" si="6"/>
        <v>0</v>
      </c>
      <c r="I46" s="11">
        <f t="shared" si="6"/>
        <v>1</v>
      </c>
      <c r="J46" s="11">
        <f t="shared" si="6"/>
        <v>6</v>
      </c>
      <c r="K46" s="11">
        <f t="shared" si="6"/>
        <v>2</v>
      </c>
      <c r="L46" s="11">
        <f t="shared" si="6"/>
        <v>1</v>
      </c>
      <c r="M46" s="11">
        <f t="shared" si="6"/>
        <v>0</v>
      </c>
      <c r="N46" s="11">
        <f>SUM(B46:M46)</f>
        <v>124</v>
      </c>
    </row>
    <row r="47" spans="1:14" ht="30" customHeight="1" x14ac:dyDescent="0.25">
      <c r="A47" s="16" t="s">
        <v>20</v>
      </c>
      <c r="B47" s="17">
        <v>0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  <c r="H47" s="17">
        <v>2</v>
      </c>
      <c r="I47" s="17">
        <v>1</v>
      </c>
      <c r="J47" s="17">
        <v>1</v>
      </c>
      <c r="K47" s="17">
        <v>2</v>
      </c>
      <c r="L47" s="17">
        <v>2</v>
      </c>
      <c r="M47" s="17">
        <v>1</v>
      </c>
      <c r="N47" s="8"/>
    </row>
    <row r="48" spans="1:14" ht="45" customHeight="1" x14ac:dyDescent="0.25">
      <c r="A48" s="9" t="s">
        <v>21</v>
      </c>
      <c r="B48" s="18">
        <f t="shared" ref="B48:M48" si="7">B46*B47</f>
        <v>0</v>
      </c>
      <c r="C48" s="18">
        <f t="shared" si="7"/>
        <v>40</v>
      </c>
      <c r="D48" s="18">
        <f t="shared" si="7"/>
        <v>15</v>
      </c>
      <c r="E48" s="18">
        <f t="shared" si="7"/>
        <v>6</v>
      </c>
      <c r="F48" s="18">
        <f t="shared" si="7"/>
        <v>10</v>
      </c>
      <c r="G48" s="18">
        <f t="shared" si="7"/>
        <v>1</v>
      </c>
      <c r="H48" s="18">
        <f t="shared" si="7"/>
        <v>0</v>
      </c>
      <c r="I48" s="18">
        <f t="shared" si="7"/>
        <v>1</v>
      </c>
      <c r="J48" s="18">
        <f t="shared" si="7"/>
        <v>6</v>
      </c>
      <c r="K48" s="18">
        <f t="shared" si="7"/>
        <v>4</v>
      </c>
      <c r="L48" s="18">
        <f t="shared" si="7"/>
        <v>2</v>
      </c>
      <c r="M48" s="18">
        <f t="shared" si="7"/>
        <v>0</v>
      </c>
      <c r="N48" s="19">
        <f>SUM(B48:M48)</f>
        <v>85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1" t="s">
        <v>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ht="15" customHeight="1" x14ac:dyDescent="0.25"/>
    <row r="54" spans="1:14" ht="75" customHeight="1" x14ac:dyDescent="0.25">
      <c r="A54" s="1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2" t="s">
        <v>10</v>
      </c>
      <c r="H54" s="2" t="s">
        <v>11</v>
      </c>
      <c r="I54" s="2" t="s">
        <v>12</v>
      </c>
      <c r="J54" s="2" t="s">
        <v>13</v>
      </c>
      <c r="K54" s="2" t="s">
        <v>14</v>
      </c>
      <c r="L54" s="2" t="s">
        <v>15</v>
      </c>
      <c r="M54" s="2" t="s">
        <v>16</v>
      </c>
      <c r="N54" s="7" t="s">
        <v>17</v>
      </c>
    </row>
    <row r="55" spans="1:14" x14ac:dyDescent="0.25">
      <c r="A55" s="33" t="s">
        <v>93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5"/>
      <c r="N55" s="8"/>
    </row>
    <row r="56" spans="1:14" ht="30" customHeight="1" x14ac:dyDescent="0.25">
      <c r="A56" s="4" t="str">
        <f>'7-8AM'!A56</f>
        <v>Maili Tisa Bound</v>
      </c>
      <c r="B56" s="3">
        <f t="shared" ref="B56:M56" si="8">(B14+B24+B34+B44)</f>
        <v>95</v>
      </c>
      <c r="C56" s="3">
        <f t="shared" si="8"/>
        <v>89</v>
      </c>
      <c r="D56" s="3">
        <f t="shared" si="8"/>
        <v>29</v>
      </c>
      <c r="E56" s="3">
        <f t="shared" si="8"/>
        <v>14</v>
      </c>
      <c r="F56" s="3">
        <f t="shared" si="8"/>
        <v>26</v>
      </c>
      <c r="G56" s="3">
        <f t="shared" si="8"/>
        <v>6</v>
      </c>
      <c r="H56" s="3">
        <f t="shared" si="8"/>
        <v>4</v>
      </c>
      <c r="I56" s="3">
        <f t="shared" si="8"/>
        <v>2</v>
      </c>
      <c r="J56" s="3">
        <f t="shared" si="8"/>
        <v>8</v>
      </c>
      <c r="K56" s="3">
        <f t="shared" si="8"/>
        <v>6</v>
      </c>
      <c r="L56" s="3">
        <f t="shared" si="8"/>
        <v>0</v>
      </c>
      <c r="M56" s="3">
        <f t="shared" si="8"/>
        <v>0</v>
      </c>
      <c r="N56" s="20">
        <f>SUM(B56:M56)</f>
        <v>279</v>
      </c>
    </row>
    <row r="57" spans="1:14" ht="26.25" customHeight="1" x14ac:dyDescent="0.25">
      <c r="A57" s="4" t="str">
        <f>'7-8AM'!A57</f>
        <v>Kitale Bound</v>
      </c>
      <c r="B57" s="3">
        <f t="shared" ref="B57:M57" si="9">(B15+B25+B35+B45)</f>
        <v>66</v>
      </c>
      <c r="C57" s="3">
        <f t="shared" si="9"/>
        <v>91</v>
      </c>
      <c r="D57" s="3">
        <f t="shared" si="9"/>
        <v>40</v>
      </c>
      <c r="E57" s="3">
        <f t="shared" si="9"/>
        <v>19</v>
      </c>
      <c r="F57" s="3">
        <f t="shared" si="9"/>
        <v>21</v>
      </c>
      <c r="G57" s="3">
        <f t="shared" si="9"/>
        <v>2</v>
      </c>
      <c r="H57" s="3">
        <f t="shared" si="9"/>
        <v>1</v>
      </c>
      <c r="I57" s="3">
        <f t="shared" si="9"/>
        <v>2</v>
      </c>
      <c r="J57" s="3">
        <f t="shared" si="9"/>
        <v>15</v>
      </c>
      <c r="K57" s="3">
        <f t="shared" si="9"/>
        <v>2</v>
      </c>
      <c r="L57" s="3">
        <f t="shared" si="9"/>
        <v>2</v>
      </c>
      <c r="M57" s="3">
        <f t="shared" si="9"/>
        <v>0</v>
      </c>
      <c r="N57" s="20">
        <f>SUM(B57:M57)</f>
        <v>261</v>
      </c>
    </row>
    <row r="58" spans="1:14" ht="27.75" customHeight="1" x14ac:dyDescent="0.25">
      <c r="A58" s="10" t="s">
        <v>19</v>
      </c>
      <c r="B58" s="11">
        <f t="shared" ref="B58:M58" si="10">SUM(B56:B57)</f>
        <v>161</v>
      </c>
      <c r="C58" s="11">
        <f t="shared" si="10"/>
        <v>180</v>
      </c>
      <c r="D58" s="11">
        <f t="shared" si="10"/>
        <v>69</v>
      </c>
      <c r="E58" s="11">
        <f t="shared" si="10"/>
        <v>33</v>
      </c>
      <c r="F58" s="11">
        <f t="shared" si="10"/>
        <v>47</v>
      </c>
      <c r="G58" s="11">
        <f t="shared" si="10"/>
        <v>8</v>
      </c>
      <c r="H58" s="11">
        <f t="shared" si="10"/>
        <v>5</v>
      </c>
      <c r="I58" s="11">
        <f t="shared" si="10"/>
        <v>4</v>
      </c>
      <c r="J58" s="11">
        <f t="shared" si="10"/>
        <v>23</v>
      </c>
      <c r="K58" s="11">
        <f t="shared" si="10"/>
        <v>8</v>
      </c>
      <c r="L58" s="11">
        <f t="shared" si="10"/>
        <v>2</v>
      </c>
      <c r="M58" s="11">
        <f t="shared" si="10"/>
        <v>0</v>
      </c>
      <c r="N58" s="11">
        <f>SUM(B58:M58)</f>
        <v>540</v>
      </c>
    </row>
    <row r="59" spans="1:14" ht="30" customHeight="1" x14ac:dyDescent="0.25">
      <c r="A59" s="16" t="s">
        <v>20</v>
      </c>
      <c r="B59" s="17">
        <v>0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1</v>
      </c>
      <c r="J59" s="17">
        <v>1</v>
      </c>
      <c r="K59" s="17">
        <v>2</v>
      </c>
      <c r="L59" s="17">
        <v>2</v>
      </c>
      <c r="M59" s="17">
        <v>1</v>
      </c>
      <c r="N59" s="8"/>
    </row>
    <row r="60" spans="1:14" ht="45" customHeight="1" x14ac:dyDescent="0.25">
      <c r="A60" s="9" t="s">
        <v>21</v>
      </c>
      <c r="B60" s="18">
        <f t="shared" ref="B60:M60" si="11">B58*B59</f>
        <v>0</v>
      </c>
      <c r="C60" s="18">
        <f t="shared" si="11"/>
        <v>180</v>
      </c>
      <c r="D60" s="18">
        <f t="shared" si="11"/>
        <v>69</v>
      </c>
      <c r="E60" s="18">
        <f t="shared" si="11"/>
        <v>33</v>
      </c>
      <c r="F60" s="18">
        <f t="shared" si="11"/>
        <v>47</v>
      </c>
      <c r="G60" s="18">
        <f t="shared" si="11"/>
        <v>8</v>
      </c>
      <c r="H60" s="18">
        <f t="shared" si="11"/>
        <v>10</v>
      </c>
      <c r="I60" s="18">
        <f t="shared" si="11"/>
        <v>4</v>
      </c>
      <c r="J60" s="18">
        <f t="shared" si="11"/>
        <v>23</v>
      </c>
      <c r="K60" s="18">
        <f t="shared" si="11"/>
        <v>16</v>
      </c>
      <c r="L60" s="18">
        <f t="shared" si="11"/>
        <v>4</v>
      </c>
      <c r="M60" s="18">
        <f t="shared" si="11"/>
        <v>0</v>
      </c>
      <c r="N60" s="19">
        <f>SUM(B60:M60)</f>
        <v>394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2"/>
  <sheetViews>
    <sheetView tabSelected="1" view="pageBreakPreview" topLeftCell="A80" zoomScaleNormal="100" zoomScaleSheetLayoutView="100" workbookViewId="0">
      <selection activeCell="A91" sqref="A91:M92"/>
    </sheetView>
  </sheetViews>
  <sheetFormatPr defaultRowHeight="15" x14ac:dyDescent="0.25"/>
  <cols>
    <col min="1" max="1" width="18.28515625" customWidth="1"/>
  </cols>
  <sheetData>
    <row r="1" spans="1:14" x14ac:dyDescent="0.25">
      <c r="A1" s="29" t="s">
        <v>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9" t="str">
        <f>'7-8AM'!A3</f>
        <v>ROAD: JN A8 MAILI TISA-KITALE (B14) ROAD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9" customHeight="1" x14ac:dyDescent="0.25"/>
    <row r="5" spans="1:14" x14ac:dyDescent="0.25">
      <c r="A5" s="37" t="str">
        <f>'7-8AM'!A5</f>
        <v>SITE: JN A8 MAILI TISA-KITALE (B14) ROAD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25">
      <c r="A6" s="37" t="str">
        <f>'7-8AM'!A6</f>
        <v>PROJECT: PROPOSED FUEL SERVICE STATION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25">
      <c r="A7" s="32" t="str">
        <f>'7-8AM'!A7</f>
        <v>C/O: GIDEON KAGO KARIUKI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.5" customHeight="1" x14ac:dyDescent="0.25"/>
    <row r="9" spans="1:14" x14ac:dyDescent="0.25">
      <c r="A9" s="38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25">
      <c r="A10" s="36" t="s">
        <v>95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9" t="s">
        <v>96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9" customHeight="1" x14ac:dyDescent="0.25"/>
    <row r="14" spans="1:14" ht="71.25" customHeight="1" x14ac:dyDescent="0.25">
      <c r="A14" s="1" t="s">
        <v>4</v>
      </c>
      <c r="B14" s="2" t="s">
        <v>5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  <c r="M14" s="2" t="s">
        <v>16</v>
      </c>
      <c r="N14" s="7" t="s">
        <v>17</v>
      </c>
    </row>
    <row r="15" spans="1:14" x14ac:dyDescent="0.25">
      <c r="A15" s="33" t="s">
        <v>97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23"/>
    </row>
    <row r="16" spans="1:14" x14ac:dyDescent="0.25">
      <c r="A16" s="4" t="str">
        <f>'7-8AM'!A14</f>
        <v>Maili Tisa Bound</v>
      </c>
      <c r="B16" s="3">
        <f>'7-8AM'!B56</f>
        <v>51</v>
      </c>
      <c r="C16" s="3">
        <f>'7-8AM'!C56</f>
        <v>55</v>
      </c>
      <c r="D16" s="3">
        <f>'7-8AM'!D56</f>
        <v>44</v>
      </c>
      <c r="E16" s="3">
        <f>'7-8AM'!E56</f>
        <v>28</v>
      </c>
      <c r="F16" s="3">
        <f>'7-8AM'!F56</f>
        <v>21</v>
      </c>
      <c r="G16" s="3">
        <f>'7-8AM'!G56</f>
        <v>1</v>
      </c>
      <c r="H16" s="3">
        <f>'7-8AM'!H56</f>
        <v>3</v>
      </c>
      <c r="I16" s="3">
        <f>'7-8AM'!I56</f>
        <v>4</v>
      </c>
      <c r="J16" s="3">
        <f>'7-8AM'!J56</f>
        <v>5</v>
      </c>
      <c r="K16" s="3">
        <f>'7-8AM'!K56</f>
        <v>3</v>
      </c>
      <c r="L16" s="3">
        <f>'7-8AM'!L56</f>
        <v>1</v>
      </c>
      <c r="M16" s="3">
        <f>'7-8AM'!M56</f>
        <v>0</v>
      </c>
      <c r="N16" s="22">
        <f>SUM(B16:M16)</f>
        <v>216</v>
      </c>
    </row>
    <row r="17" spans="1:14" x14ac:dyDescent="0.25">
      <c r="A17" s="4" t="str">
        <f>'7-8AM'!A15</f>
        <v>Kitale Bound</v>
      </c>
      <c r="B17" s="3">
        <f>'7-8AM'!B57</f>
        <v>46</v>
      </c>
      <c r="C17" s="3">
        <f>'7-8AM'!C57</f>
        <v>74</v>
      </c>
      <c r="D17" s="3">
        <f>'7-8AM'!D57</f>
        <v>32</v>
      </c>
      <c r="E17" s="3">
        <f>'7-8AM'!E57</f>
        <v>18</v>
      </c>
      <c r="F17" s="3">
        <f>'7-8AM'!F57</f>
        <v>25</v>
      </c>
      <c r="G17" s="3">
        <f>'7-8AM'!G57</f>
        <v>0</v>
      </c>
      <c r="H17" s="3">
        <f>'7-8AM'!H57</f>
        <v>6</v>
      </c>
      <c r="I17" s="3">
        <f>'7-8AM'!I57</f>
        <v>4</v>
      </c>
      <c r="J17" s="3">
        <f>'7-8AM'!J57</f>
        <v>4</v>
      </c>
      <c r="K17" s="3">
        <f>'7-8AM'!K57</f>
        <v>3</v>
      </c>
      <c r="L17" s="3">
        <f>'7-8AM'!L57</f>
        <v>0</v>
      </c>
      <c r="M17" s="3">
        <f>'7-8AM'!M57</f>
        <v>0</v>
      </c>
      <c r="N17" s="22">
        <f>SUM(B17:M17)</f>
        <v>212</v>
      </c>
    </row>
    <row r="18" spans="1:14" x14ac:dyDescent="0.25">
      <c r="A18" s="21" t="s">
        <v>98</v>
      </c>
      <c r="B18" s="1">
        <f t="shared" ref="B18:M18" si="0">SUM(B16:B17)</f>
        <v>97</v>
      </c>
      <c r="C18" s="1">
        <f t="shared" si="0"/>
        <v>129</v>
      </c>
      <c r="D18" s="1">
        <f t="shared" si="0"/>
        <v>76</v>
      </c>
      <c r="E18" s="1">
        <f t="shared" si="0"/>
        <v>46</v>
      </c>
      <c r="F18" s="1">
        <f t="shared" si="0"/>
        <v>46</v>
      </c>
      <c r="G18" s="1">
        <f t="shared" si="0"/>
        <v>1</v>
      </c>
      <c r="H18" s="1">
        <f t="shared" si="0"/>
        <v>9</v>
      </c>
      <c r="I18" s="1">
        <f t="shared" si="0"/>
        <v>8</v>
      </c>
      <c r="J18" s="1">
        <f t="shared" si="0"/>
        <v>9</v>
      </c>
      <c r="K18" s="1">
        <f t="shared" si="0"/>
        <v>6</v>
      </c>
      <c r="L18" s="1">
        <f t="shared" si="0"/>
        <v>1</v>
      </c>
      <c r="M18" s="1">
        <f t="shared" si="0"/>
        <v>0</v>
      </c>
      <c r="N18" s="22">
        <f>SUM(B18:M18)</f>
        <v>428</v>
      </c>
    </row>
    <row r="19" spans="1:14" x14ac:dyDescent="0.25">
      <c r="A19" s="5"/>
    </row>
    <row r="20" spans="1:14" x14ac:dyDescent="0.25">
      <c r="A20" s="5"/>
    </row>
    <row r="21" spans="1:14" x14ac:dyDescent="0.25">
      <c r="A21" s="33" t="s">
        <v>99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23"/>
    </row>
    <row r="22" spans="1:14" x14ac:dyDescent="0.25">
      <c r="A22" s="4" t="str">
        <f>'7-8AM'!A14</f>
        <v>Maili Tisa Bound</v>
      </c>
      <c r="B22" s="3">
        <f>'8-9AM'!B56</f>
        <v>56</v>
      </c>
      <c r="C22" s="3">
        <f>'8-9AM'!C56</f>
        <v>57</v>
      </c>
      <c r="D22" s="3">
        <f>'8-9AM'!D56</f>
        <v>25</v>
      </c>
      <c r="E22" s="3">
        <f>'8-9AM'!E56</f>
        <v>19</v>
      </c>
      <c r="F22" s="3">
        <f>'8-9AM'!F56</f>
        <v>26</v>
      </c>
      <c r="G22" s="3">
        <f>'8-9AM'!G56</f>
        <v>6</v>
      </c>
      <c r="H22" s="3">
        <f>'8-9AM'!H56</f>
        <v>2</v>
      </c>
      <c r="I22" s="3">
        <f>'8-9AM'!I56</f>
        <v>7</v>
      </c>
      <c r="J22" s="3">
        <f>'8-9AM'!J56</f>
        <v>5</v>
      </c>
      <c r="K22" s="3">
        <f>'8-9AM'!K56</f>
        <v>4</v>
      </c>
      <c r="L22" s="3">
        <f>'8-9AM'!L56</f>
        <v>0</v>
      </c>
      <c r="M22" s="3">
        <f>'8-9AM'!M56</f>
        <v>0</v>
      </c>
      <c r="N22" s="3">
        <f>SUM(B22:M22)</f>
        <v>207</v>
      </c>
    </row>
    <row r="23" spans="1:14" x14ac:dyDescent="0.25">
      <c r="A23" s="4" t="str">
        <f>'7-8AM'!A15</f>
        <v>Kitale Bound</v>
      </c>
      <c r="B23" s="3">
        <f>'8-9AM'!B57</f>
        <v>58</v>
      </c>
      <c r="C23" s="3">
        <f>'8-9AM'!C57</f>
        <v>48</v>
      </c>
      <c r="D23" s="3">
        <f>'8-9AM'!D57</f>
        <v>40</v>
      </c>
      <c r="E23" s="3">
        <f>'8-9AM'!E57</f>
        <v>16</v>
      </c>
      <c r="F23" s="3">
        <f>'8-9AM'!F57</f>
        <v>25</v>
      </c>
      <c r="G23" s="3">
        <f>'8-9AM'!G57</f>
        <v>1</v>
      </c>
      <c r="H23" s="3">
        <f>'8-9AM'!H57</f>
        <v>1</v>
      </c>
      <c r="I23" s="3">
        <f>'8-9AM'!I57</f>
        <v>1</v>
      </c>
      <c r="J23" s="3">
        <f>'8-9AM'!J57</f>
        <v>4</v>
      </c>
      <c r="K23" s="3">
        <f>'8-9AM'!K57</f>
        <v>0</v>
      </c>
      <c r="L23" s="3">
        <f>'8-9AM'!L57</f>
        <v>1</v>
      </c>
      <c r="M23" s="3">
        <f>'8-9AM'!M57</f>
        <v>0</v>
      </c>
      <c r="N23" s="3">
        <f>SUM(B23:M23)</f>
        <v>195</v>
      </c>
    </row>
    <row r="24" spans="1:14" x14ac:dyDescent="0.25">
      <c r="A24" s="21" t="s">
        <v>98</v>
      </c>
      <c r="B24" s="1">
        <f t="shared" ref="B24:M24" si="1">SUM(B22:B23)</f>
        <v>114</v>
      </c>
      <c r="C24" s="1">
        <f t="shared" si="1"/>
        <v>105</v>
      </c>
      <c r="D24" s="1">
        <f t="shared" si="1"/>
        <v>65</v>
      </c>
      <c r="E24" s="1">
        <f t="shared" si="1"/>
        <v>35</v>
      </c>
      <c r="F24" s="1">
        <f t="shared" si="1"/>
        <v>51</v>
      </c>
      <c r="G24" s="1">
        <f t="shared" si="1"/>
        <v>7</v>
      </c>
      <c r="H24" s="1">
        <f t="shared" si="1"/>
        <v>3</v>
      </c>
      <c r="I24" s="1">
        <f t="shared" si="1"/>
        <v>8</v>
      </c>
      <c r="J24" s="1">
        <f t="shared" si="1"/>
        <v>9</v>
      </c>
      <c r="K24" s="1">
        <f t="shared" si="1"/>
        <v>4</v>
      </c>
      <c r="L24" s="1">
        <f t="shared" si="1"/>
        <v>1</v>
      </c>
      <c r="M24" s="1">
        <f t="shared" si="1"/>
        <v>0</v>
      </c>
      <c r="N24" s="22">
        <f>SUM(B24:M24)</f>
        <v>402</v>
      </c>
    </row>
    <row r="25" spans="1:14" x14ac:dyDescent="0.25">
      <c r="A25" s="5"/>
    </row>
    <row r="26" spans="1:14" x14ac:dyDescent="0.25">
      <c r="A26" s="5"/>
    </row>
    <row r="27" spans="1:14" x14ac:dyDescent="0.25">
      <c r="A27" s="33" t="s">
        <v>100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23"/>
    </row>
    <row r="28" spans="1:14" x14ac:dyDescent="0.25">
      <c r="A28" s="4" t="str">
        <f>'7-8AM'!A14</f>
        <v>Maili Tisa Bound</v>
      </c>
      <c r="B28" s="3">
        <f>'9-10AM'!B56</f>
        <v>50</v>
      </c>
      <c r="C28" s="3">
        <f>'9-10AM'!C56</f>
        <v>38</v>
      </c>
      <c r="D28" s="3">
        <f>'9-10AM'!D56</f>
        <v>20</v>
      </c>
      <c r="E28" s="3">
        <f>'9-10AM'!E56</f>
        <v>16</v>
      </c>
      <c r="F28" s="3">
        <f>'9-10AM'!F56</f>
        <v>23</v>
      </c>
      <c r="G28" s="3">
        <f>'9-10AM'!G56</f>
        <v>1</v>
      </c>
      <c r="H28" s="3">
        <f>'9-10AM'!H56</f>
        <v>0</v>
      </c>
      <c r="I28" s="3">
        <f>'9-10AM'!I56</f>
        <v>2</v>
      </c>
      <c r="J28" s="3">
        <f>'9-10AM'!J56</f>
        <v>9</v>
      </c>
      <c r="K28" s="3">
        <f>'9-10AM'!K56</f>
        <v>3</v>
      </c>
      <c r="L28" s="3">
        <f>'9-10AM'!L56</f>
        <v>1</v>
      </c>
      <c r="M28" s="3">
        <f>'9-10AM'!M56</f>
        <v>0</v>
      </c>
      <c r="N28" s="3">
        <f>SUM(B28:M28)</f>
        <v>163</v>
      </c>
    </row>
    <row r="29" spans="1:14" x14ac:dyDescent="0.25">
      <c r="A29" s="4" t="str">
        <f>'7-8AM'!A15</f>
        <v>Kitale Bound</v>
      </c>
      <c r="B29" s="3">
        <f>'9-10AM'!B57</f>
        <v>60</v>
      </c>
      <c r="C29" s="3">
        <f>'9-10AM'!C57</f>
        <v>44</v>
      </c>
      <c r="D29" s="3">
        <f>'9-10AM'!D57</f>
        <v>22</v>
      </c>
      <c r="E29" s="3">
        <f>'9-10AM'!E57</f>
        <v>12</v>
      </c>
      <c r="F29" s="3">
        <f>'9-10AM'!F57</f>
        <v>37</v>
      </c>
      <c r="G29" s="3">
        <f>'9-10AM'!G57</f>
        <v>1</v>
      </c>
      <c r="H29" s="3">
        <f>'9-10AM'!H57</f>
        <v>2</v>
      </c>
      <c r="I29" s="3">
        <f>'9-10AM'!I57</f>
        <v>5</v>
      </c>
      <c r="J29" s="3">
        <f>'9-10AM'!J57</f>
        <v>12</v>
      </c>
      <c r="K29" s="3">
        <f>'9-10AM'!K57</f>
        <v>3</v>
      </c>
      <c r="L29" s="3">
        <f>'9-10AM'!L57</f>
        <v>0</v>
      </c>
      <c r="M29" s="3">
        <f>'9-10AM'!M57</f>
        <v>0</v>
      </c>
      <c r="N29" s="3">
        <f>SUM(B29:M29)</f>
        <v>198</v>
      </c>
    </row>
    <row r="30" spans="1:14" x14ac:dyDescent="0.25">
      <c r="A30" s="21" t="s">
        <v>98</v>
      </c>
      <c r="B30" s="1">
        <f t="shared" ref="B30:M30" si="2">SUM(B28:B29)</f>
        <v>110</v>
      </c>
      <c r="C30" s="3">
        <f t="shared" si="2"/>
        <v>82</v>
      </c>
      <c r="D30" s="1">
        <f t="shared" si="2"/>
        <v>42</v>
      </c>
      <c r="E30" s="1">
        <f t="shared" si="2"/>
        <v>28</v>
      </c>
      <c r="F30" s="1">
        <f t="shared" si="2"/>
        <v>60</v>
      </c>
      <c r="G30" s="1">
        <f t="shared" si="2"/>
        <v>2</v>
      </c>
      <c r="H30" s="1">
        <f t="shared" si="2"/>
        <v>2</v>
      </c>
      <c r="I30" s="1">
        <f t="shared" si="2"/>
        <v>7</v>
      </c>
      <c r="J30" s="1">
        <f t="shared" si="2"/>
        <v>21</v>
      </c>
      <c r="K30" s="1">
        <f t="shared" si="2"/>
        <v>6</v>
      </c>
      <c r="L30" s="1">
        <f t="shared" si="2"/>
        <v>1</v>
      </c>
      <c r="M30" s="1">
        <f t="shared" si="2"/>
        <v>0</v>
      </c>
      <c r="N30" s="22">
        <f>SUM(B30:M30)</f>
        <v>361</v>
      </c>
    </row>
    <row r="31" spans="1:14" x14ac:dyDescent="0.25">
      <c r="A31" s="5"/>
    </row>
    <row r="32" spans="1:14" x14ac:dyDescent="0.25">
      <c r="A32" s="5"/>
    </row>
    <row r="33" spans="1:14" x14ac:dyDescent="0.25">
      <c r="A33" s="33" t="s">
        <v>39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23"/>
    </row>
    <row r="34" spans="1:14" x14ac:dyDescent="0.25">
      <c r="A34" s="4" t="str">
        <f>'7-8AM'!A14</f>
        <v>Maili Tisa Bound</v>
      </c>
      <c r="B34" s="3">
        <f>'10-11AM'!B56</f>
        <v>53</v>
      </c>
      <c r="C34" s="3">
        <f>'10-11AM'!C56</f>
        <v>42</v>
      </c>
      <c r="D34" s="3">
        <f>'10-11AM'!D56</f>
        <v>37</v>
      </c>
      <c r="E34" s="3">
        <f>'10-11AM'!E56</f>
        <v>20</v>
      </c>
      <c r="F34" s="3">
        <f>'10-11AM'!F56</f>
        <v>28</v>
      </c>
      <c r="G34" s="3">
        <f>'10-11AM'!G56</f>
        <v>4</v>
      </c>
      <c r="H34" s="3">
        <f>'10-11AM'!H56</f>
        <v>3</v>
      </c>
      <c r="I34" s="3">
        <f>'10-11AM'!I56</f>
        <v>2</v>
      </c>
      <c r="J34" s="3">
        <f>'10-11AM'!J56</f>
        <v>8</v>
      </c>
      <c r="K34" s="3">
        <f>'10-11AM'!K56</f>
        <v>3</v>
      </c>
      <c r="L34" s="3">
        <f>'10-11AM'!L56</f>
        <v>0</v>
      </c>
      <c r="M34" s="3">
        <f>'10-11AM'!M56</f>
        <v>0</v>
      </c>
      <c r="N34" s="3">
        <f>SUM(B34:M34)</f>
        <v>200</v>
      </c>
    </row>
    <row r="35" spans="1:14" x14ac:dyDescent="0.25">
      <c r="A35" s="4" t="str">
        <f>'7-8AM'!A15</f>
        <v>Kitale Bound</v>
      </c>
      <c r="B35" s="3">
        <f>'10-11AM'!B57</f>
        <v>55</v>
      </c>
      <c r="C35" s="3">
        <f>'10-11AM'!C57</f>
        <v>49</v>
      </c>
      <c r="D35" s="3">
        <f>'10-11AM'!D57</f>
        <v>30</v>
      </c>
      <c r="E35" s="3">
        <f>'10-11AM'!E57</f>
        <v>25</v>
      </c>
      <c r="F35" s="3">
        <f>'10-11AM'!F57</f>
        <v>23</v>
      </c>
      <c r="G35" s="3">
        <f>'10-11AM'!G57</f>
        <v>6</v>
      </c>
      <c r="H35" s="3">
        <f>'10-11AM'!H57</f>
        <v>1</v>
      </c>
      <c r="I35" s="3">
        <f>'10-11AM'!I57</f>
        <v>3</v>
      </c>
      <c r="J35" s="3">
        <f>'10-11AM'!J57</f>
        <v>4</v>
      </c>
      <c r="K35" s="3">
        <f>'10-11AM'!K57</f>
        <v>1</v>
      </c>
      <c r="L35" s="3">
        <f>'10-11AM'!L57</f>
        <v>1</v>
      </c>
      <c r="M35" s="3">
        <f>'10-11AM'!M57</f>
        <v>0</v>
      </c>
      <c r="N35" s="3">
        <f>SUM(B35:M35)</f>
        <v>198</v>
      </c>
    </row>
    <row r="36" spans="1:14" x14ac:dyDescent="0.25">
      <c r="A36" s="21" t="s">
        <v>98</v>
      </c>
      <c r="B36" s="1">
        <f t="shared" ref="B36:M36" si="3">SUM(B34:B35)</f>
        <v>108</v>
      </c>
      <c r="C36" s="1">
        <f t="shared" si="3"/>
        <v>91</v>
      </c>
      <c r="D36" s="1">
        <f t="shared" si="3"/>
        <v>67</v>
      </c>
      <c r="E36" s="1">
        <f t="shared" si="3"/>
        <v>45</v>
      </c>
      <c r="F36" s="1">
        <f t="shared" si="3"/>
        <v>51</v>
      </c>
      <c r="G36" s="1">
        <f t="shared" si="3"/>
        <v>10</v>
      </c>
      <c r="H36" s="1">
        <f t="shared" si="3"/>
        <v>4</v>
      </c>
      <c r="I36" s="1">
        <f t="shared" si="3"/>
        <v>5</v>
      </c>
      <c r="J36" s="1">
        <f t="shared" si="3"/>
        <v>12</v>
      </c>
      <c r="K36" s="1">
        <f t="shared" si="3"/>
        <v>4</v>
      </c>
      <c r="L36" s="1">
        <f t="shared" si="3"/>
        <v>1</v>
      </c>
      <c r="M36" s="1">
        <f t="shared" si="3"/>
        <v>0</v>
      </c>
      <c r="N36" s="22">
        <f>SUM(B36:M36)</f>
        <v>398</v>
      </c>
    </row>
    <row r="37" spans="1:14" x14ac:dyDescent="0.25">
      <c r="A37" s="5"/>
    </row>
    <row r="38" spans="1:14" x14ac:dyDescent="0.25">
      <c r="A38" s="5"/>
    </row>
    <row r="39" spans="1:14" x14ac:dyDescent="0.25">
      <c r="A39" s="33" t="s">
        <v>101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5"/>
      <c r="N39" s="23"/>
    </row>
    <row r="40" spans="1:14" x14ac:dyDescent="0.25">
      <c r="A40" s="4" t="str">
        <f>'7-8AM'!A14</f>
        <v>Maili Tisa Bound</v>
      </c>
      <c r="B40" s="3">
        <f>'11-12PM'!B56</f>
        <v>66</v>
      </c>
      <c r="C40" s="3">
        <f>'11-12PM'!C56</f>
        <v>61</v>
      </c>
      <c r="D40" s="3">
        <f>'11-12PM'!D56</f>
        <v>42</v>
      </c>
      <c r="E40" s="3">
        <f>'11-12PM'!E56</f>
        <v>23</v>
      </c>
      <c r="F40" s="3">
        <f>'11-12PM'!F56</f>
        <v>20</v>
      </c>
      <c r="G40" s="3">
        <f>'11-12PM'!G56</f>
        <v>4</v>
      </c>
      <c r="H40" s="3">
        <f>'11-12PM'!H56</f>
        <v>0</v>
      </c>
      <c r="I40" s="3">
        <f>'11-12PM'!I56</f>
        <v>5</v>
      </c>
      <c r="J40" s="3">
        <f>'11-12PM'!J56</f>
        <v>12</v>
      </c>
      <c r="K40" s="3">
        <f>'11-12PM'!K56</f>
        <v>8</v>
      </c>
      <c r="L40" s="3">
        <f>'11-12PM'!L56</f>
        <v>1</v>
      </c>
      <c r="M40" s="3">
        <f>'11-12PM'!M56</f>
        <v>1</v>
      </c>
      <c r="N40" s="3">
        <f>SUM(B40:M40)</f>
        <v>243</v>
      </c>
    </row>
    <row r="41" spans="1:14" x14ac:dyDescent="0.25">
      <c r="A41" s="4" t="str">
        <f>'7-8AM'!A15</f>
        <v>Kitale Bound</v>
      </c>
      <c r="B41" s="3">
        <f>'11-12PM'!B57</f>
        <v>49</v>
      </c>
      <c r="C41" s="3">
        <f>'11-12PM'!C57</f>
        <v>58</v>
      </c>
      <c r="D41" s="3">
        <f>'11-12PM'!D57</f>
        <v>32</v>
      </c>
      <c r="E41" s="3">
        <f>'11-12PM'!E57</f>
        <v>18</v>
      </c>
      <c r="F41" s="3">
        <f>'11-12PM'!F57</f>
        <v>28</v>
      </c>
      <c r="G41" s="3">
        <f>'11-12PM'!G57</f>
        <v>3</v>
      </c>
      <c r="H41" s="3">
        <f>'11-12PM'!H57</f>
        <v>5</v>
      </c>
      <c r="I41" s="3">
        <f>'11-12PM'!I57</f>
        <v>3</v>
      </c>
      <c r="J41" s="3">
        <f>'11-12PM'!J57</f>
        <v>5</v>
      </c>
      <c r="K41" s="3">
        <f>'11-12PM'!K57</f>
        <v>3</v>
      </c>
      <c r="L41" s="3">
        <f>'11-12PM'!L57</f>
        <v>1</v>
      </c>
      <c r="M41" s="3">
        <f>'11-12PM'!M57</f>
        <v>0</v>
      </c>
      <c r="N41" s="27">
        <f>SUM(B41:M41)</f>
        <v>205</v>
      </c>
    </row>
    <row r="42" spans="1:14" x14ac:dyDescent="0.25">
      <c r="A42" s="21" t="s">
        <v>98</v>
      </c>
      <c r="B42" s="1">
        <f t="shared" ref="B42:M42" si="4">SUM(B40:B41)</f>
        <v>115</v>
      </c>
      <c r="C42" s="1">
        <f t="shared" si="4"/>
        <v>119</v>
      </c>
      <c r="D42" s="1">
        <f t="shared" si="4"/>
        <v>74</v>
      </c>
      <c r="E42" s="1">
        <f t="shared" si="4"/>
        <v>41</v>
      </c>
      <c r="F42" s="1">
        <f t="shared" si="4"/>
        <v>48</v>
      </c>
      <c r="G42" s="1">
        <f t="shared" si="4"/>
        <v>7</v>
      </c>
      <c r="H42" s="1">
        <f t="shared" si="4"/>
        <v>5</v>
      </c>
      <c r="I42" s="1">
        <f t="shared" si="4"/>
        <v>8</v>
      </c>
      <c r="J42" s="1">
        <f t="shared" si="4"/>
        <v>17</v>
      </c>
      <c r="K42" s="1">
        <f t="shared" si="4"/>
        <v>11</v>
      </c>
      <c r="L42" s="1">
        <f t="shared" si="4"/>
        <v>2</v>
      </c>
      <c r="M42" s="1">
        <f t="shared" si="4"/>
        <v>1</v>
      </c>
      <c r="N42" s="22">
        <f>SUM(B42:M42)</f>
        <v>448</v>
      </c>
    </row>
    <row r="43" spans="1:14" x14ac:dyDescent="0.25">
      <c r="A43" s="5"/>
    </row>
    <row r="44" spans="1:14" x14ac:dyDescent="0.25">
      <c r="A44" s="5"/>
    </row>
    <row r="45" spans="1:14" x14ac:dyDescent="0.25">
      <c r="A45" s="33" t="s">
        <v>102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5"/>
      <c r="N45" s="23"/>
    </row>
    <row r="46" spans="1:14" x14ac:dyDescent="0.25">
      <c r="A46" s="4" t="str">
        <f>'7-8AM'!A14</f>
        <v>Maili Tisa Bound</v>
      </c>
      <c r="B46" s="3">
        <f>'12-1PM'!B56</f>
        <v>64</v>
      </c>
      <c r="C46" s="3">
        <f>'12-1PM'!C56</f>
        <v>58</v>
      </c>
      <c r="D46" s="3">
        <f>'12-1PM'!D56</f>
        <v>33</v>
      </c>
      <c r="E46" s="3">
        <f>'12-1PM'!E56</f>
        <v>17</v>
      </c>
      <c r="F46" s="3">
        <f>'12-1PM'!F56</f>
        <v>26</v>
      </c>
      <c r="G46" s="3">
        <f>'12-1PM'!G56</f>
        <v>5</v>
      </c>
      <c r="H46" s="3">
        <f>'12-1PM'!H56</f>
        <v>2</v>
      </c>
      <c r="I46" s="3">
        <f>'12-1PM'!I56</f>
        <v>4</v>
      </c>
      <c r="J46" s="3">
        <f>'12-1PM'!J56</f>
        <v>8</v>
      </c>
      <c r="K46" s="3">
        <f>'12-1PM'!K56</f>
        <v>4</v>
      </c>
      <c r="L46" s="3">
        <f>'12-1PM'!L56</f>
        <v>1</v>
      </c>
      <c r="M46" s="3">
        <f>'12-1PM'!M56</f>
        <v>1</v>
      </c>
      <c r="N46" s="3">
        <f>SUM(B46:M46)</f>
        <v>223</v>
      </c>
    </row>
    <row r="47" spans="1:14" x14ac:dyDescent="0.25">
      <c r="A47" s="4" t="str">
        <f>'7-8AM'!A15</f>
        <v>Kitale Bound</v>
      </c>
      <c r="B47" s="3">
        <f>'12-1PM'!B57</f>
        <v>49</v>
      </c>
      <c r="C47" s="3">
        <f>'12-1PM'!C57</f>
        <v>64</v>
      </c>
      <c r="D47" s="3">
        <f>'12-1PM'!D57</f>
        <v>34</v>
      </c>
      <c r="E47" s="3">
        <f>'12-1PM'!E57</f>
        <v>17</v>
      </c>
      <c r="F47" s="3">
        <f>'12-1PM'!F57</f>
        <v>31</v>
      </c>
      <c r="G47" s="3">
        <f>'12-1PM'!G57</f>
        <v>1</v>
      </c>
      <c r="H47" s="3">
        <f>'12-1PM'!H57</f>
        <v>4</v>
      </c>
      <c r="I47" s="3">
        <f>'12-1PM'!I57</f>
        <v>3</v>
      </c>
      <c r="J47" s="3">
        <f>'12-1PM'!J57</f>
        <v>11</v>
      </c>
      <c r="K47" s="3">
        <f>'12-1PM'!K57</f>
        <v>1</v>
      </c>
      <c r="L47" s="3">
        <f>'12-1PM'!L57</f>
        <v>2</v>
      </c>
      <c r="M47" s="3">
        <f>'12-1PM'!M57</f>
        <v>1</v>
      </c>
      <c r="N47" s="3">
        <f>SUM(B47:M47)</f>
        <v>218</v>
      </c>
    </row>
    <row r="48" spans="1:14" x14ac:dyDescent="0.25">
      <c r="A48" s="21" t="s">
        <v>98</v>
      </c>
      <c r="B48" s="1">
        <f t="shared" ref="B48:M48" si="5">SUM(B46:B47)</f>
        <v>113</v>
      </c>
      <c r="C48" s="1">
        <f t="shared" si="5"/>
        <v>122</v>
      </c>
      <c r="D48" s="1">
        <f t="shared" si="5"/>
        <v>67</v>
      </c>
      <c r="E48" s="1">
        <f t="shared" si="5"/>
        <v>34</v>
      </c>
      <c r="F48" s="1">
        <f t="shared" si="5"/>
        <v>57</v>
      </c>
      <c r="G48" s="1">
        <f t="shared" si="5"/>
        <v>6</v>
      </c>
      <c r="H48" s="1">
        <f t="shared" si="5"/>
        <v>6</v>
      </c>
      <c r="I48" s="1">
        <f t="shared" si="5"/>
        <v>7</v>
      </c>
      <c r="J48" s="1">
        <f t="shared" si="5"/>
        <v>19</v>
      </c>
      <c r="K48" s="1">
        <f t="shared" si="5"/>
        <v>5</v>
      </c>
      <c r="L48" s="1">
        <f t="shared" si="5"/>
        <v>3</v>
      </c>
      <c r="M48" s="1">
        <f t="shared" si="5"/>
        <v>2</v>
      </c>
      <c r="N48" s="22">
        <f>SUM(B48:M48)</f>
        <v>441</v>
      </c>
    </row>
    <row r="49" spans="1:14" x14ac:dyDescent="0.25">
      <c r="A49" s="5"/>
    </row>
    <row r="50" spans="1:14" x14ac:dyDescent="0.25">
      <c r="A50" s="5"/>
    </row>
    <row r="51" spans="1:14" x14ac:dyDescent="0.25">
      <c r="A51" s="33" t="s">
        <v>103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5"/>
      <c r="N51" s="23"/>
    </row>
    <row r="52" spans="1:14" x14ac:dyDescent="0.25">
      <c r="A52" s="4" t="str">
        <f>'7-8AM'!A14</f>
        <v>Maili Tisa Bound</v>
      </c>
      <c r="B52" s="3">
        <f>'1-2PM'!B56</f>
        <v>59</v>
      </c>
      <c r="C52" s="3">
        <f>'1-2PM'!C56</f>
        <v>50</v>
      </c>
      <c r="D52" s="3">
        <f>'1-2PM'!D56</f>
        <v>28</v>
      </c>
      <c r="E52" s="3">
        <f>'1-2PM'!E56</f>
        <v>19</v>
      </c>
      <c r="F52" s="3">
        <f>'1-2PM'!F56</f>
        <v>25</v>
      </c>
      <c r="G52" s="3">
        <f>'1-2PM'!G56</f>
        <v>3</v>
      </c>
      <c r="H52" s="3">
        <f>'1-2PM'!H56</f>
        <v>2</v>
      </c>
      <c r="I52" s="3">
        <f>'1-2PM'!I56</f>
        <v>0</v>
      </c>
      <c r="J52" s="3">
        <f>'1-2PM'!J56</f>
        <v>14</v>
      </c>
      <c r="K52" s="3">
        <f>'1-2PM'!K56</f>
        <v>3</v>
      </c>
      <c r="L52" s="3">
        <f>'1-2PM'!L56</f>
        <v>1</v>
      </c>
      <c r="M52" s="3">
        <f>'1-2PM'!M56</f>
        <v>2</v>
      </c>
      <c r="N52" s="3">
        <f>SUM(B52:M52)</f>
        <v>206</v>
      </c>
    </row>
    <row r="53" spans="1:14" x14ac:dyDescent="0.25">
      <c r="A53" s="4" t="str">
        <f>'7-8AM'!A15</f>
        <v>Kitale Bound</v>
      </c>
      <c r="B53" s="3">
        <f>'1-2PM'!B57</f>
        <v>75</v>
      </c>
      <c r="C53" s="3">
        <f>'1-2PM'!C57</f>
        <v>76</v>
      </c>
      <c r="D53" s="3">
        <f>'1-2PM'!D57</f>
        <v>28</v>
      </c>
      <c r="E53" s="3">
        <f>'1-2PM'!E57</f>
        <v>15</v>
      </c>
      <c r="F53" s="3">
        <f>'1-2PM'!F57</f>
        <v>27</v>
      </c>
      <c r="G53" s="3">
        <f>'1-2PM'!G57</f>
        <v>2</v>
      </c>
      <c r="H53" s="3">
        <f>'1-2PM'!H57</f>
        <v>1</v>
      </c>
      <c r="I53" s="3">
        <f>'1-2PM'!I57</f>
        <v>0</v>
      </c>
      <c r="J53" s="3">
        <f>'1-2PM'!J57</f>
        <v>14</v>
      </c>
      <c r="K53" s="3">
        <f>'1-2PM'!K57</f>
        <v>2</v>
      </c>
      <c r="L53" s="3">
        <f>'1-2PM'!L57</f>
        <v>1</v>
      </c>
      <c r="M53" s="3">
        <f>'1-2PM'!M57</f>
        <v>0</v>
      </c>
      <c r="N53" s="3">
        <f>SUM(B53:M53)</f>
        <v>241</v>
      </c>
    </row>
    <row r="54" spans="1:14" x14ac:dyDescent="0.25">
      <c r="A54" s="21" t="s">
        <v>98</v>
      </c>
      <c r="B54" s="1">
        <f t="shared" ref="B54:M54" si="6">SUM(B52:B53)</f>
        <v>134</v>
      </c>
      <c r="C54" s="1">
        <f t="shared" si="6"/>
        <v>126</v>
      </c>
      <c r="D54" s="1">
        <f t="shared" si="6"/>
        <v>56</v>
      </c>
      <c r="E54" s="1">
        <f t="shared" si="6"/>
        <v>34</v>
      </c>
      <c r="F54" s="1">
        <f t="shared" si="6"/>
        <v>52</v>
      </c>
      <c r="G54" s="1">
        <f t="shared" si="6"/>
        <v>5</v>
      </c>
      <c r="H54" s="1">
        <f t="shared" si="6"/>
        <v>3</v>
      </c>
      <c r="I54" s="1">
        <f t="shared" si="6"/>
        <v>0</v>
      </c>
      <c r="J54" s="1">
        <f t="shared" si="6"/>
        <v>28</v>
      </c>
      <c r="K54" s="1">
        <f t="shared" si="6"/>
        <v>5</v>
      </c>
      <c r="L54" s="1">
        <f t="shared" si="6"/>
        <v>2</v>
      </c>
      <c r="M54" s="1">
        <f t="shared" si="6"/>
        <v>2</v>
      </c>
      <c r="N54" s="22">
        <f>SUM(B54:M54)</f>
        <v>447</v>
      </c>
    </row>
    <row r="55" spans="1:14" x14ac:dyDescent="0.25">
      <c r="A55" s="5"/>
    </row>
    <row r="56" spans="1:14" x14ac:dyDescent="0.25">
      <c r="A56" s="5"/>
    </row>
    <row r="57" spans="1:14" x14ac:dyDescent="0.25">
      <c r="A57" s="33" t="s">
        <v>104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5"/>
      <c r="N57" s="23"/>
    </row>
    <row r="58" spans="1:14" x14ac:dyDescent="0.25">
      <c r="A58" s="4" t="str">
        <f>'7-8AM'!A14</f>
        <v>Maili Tisa Bound</v>
      </c>
      <c r="B58" s="3">
        <f>'2-3PM'!B56</f>
        <v>92</v>
      </c>
      <c r="C58" s="3">
        <f>'2-3PM'!C56</f>
        <v>45</v>
      </c>
      <c r="D58" s="3">
        <f>'2-3PM'!D56</f>
        <v>22</v>
      </c>
      <c r="E58" s="3">
        <f>'2-3PM'!E56</f>
        <v>12</v>
      </c>
      <c r="F58" s="3">
        <f>'2-3PM'!F56</f>
        <v>26</v>
      </c>
      <c r="G58" s="3">
        <f>'2-3PM'!G56</f>
        <v>0</v>
      </c>
      <c r="H58" s="3">
        <f>'2-3PM'!H56</f>
        <v>2</v>
      </c>
      <c r="I58" s="3">
        <f>'2-3PM'!I56</f>
        <v>1</v>
      </c>
      <c r="J58" s="3">
        <f>'2-3PM'!J56</f>
        <v>13</v>
      </c>
      <c r="K58" s="3">
        <f>'2-3PM'!K56</f>
        <v>2</v>
      </c>
      <c r="L58" s="3">
        <f>'2-3PM'!L56</f>
        <v>1</v>
      </c>
      <c r="M58" s="3">
        <f>'2-3PM'!M56</f>
        <v>0</v>
      </c>
      <c r="N58" s="3">
        <f>SUM(B58:M58)</f>
        <v>216</v>
      </c>
    </row>
    <row r="59" spans="1:14" x14ac:dyDescent="0.25">
      <c r="A59" s="4" t="str">
        <f>'7-8AM'!A15</f>
        <v>Kitale Bound</v>
      </c>
      <c r="B59" s="3">
        <f>'2-3PM'!B57</f>
        <v>100</v>
      </c>
      <c r="C59" s="3">
        <f>'2-3PM'!C57</f>
        <v>75</v>
      </c>
      <c r="D59" s="3">
        <f>'2-3PM'!D57</f>
        <v>15</v>
      </c>
      <c r="E59" s="3">
        <f>'2-3PM'!E57</f>
        <v>10</v>
      </c>
      <c r="F59" s="3">
        <f>'2-3PM'!F57</f>
        <v>29</v>
      </c>
      <c r="G59" s="3">
        <f>'2-3PM'!G57</f>
        <v>0</v>
      </c>
      <c r="H59" s="3">
        <f>'2-3PM'!H57</f>
        <v>1</v>
      </c>
      <c r="I59" s="3">
        <f>'2-3PM'!I57</f>
        <v>0</v>
      </c>
      <c r="J59" s="3">
        <f>'2-3PM'!J57</f>
        <v>15</v>
      </c>
      <c r="K59" s="3">
        <f>'2-3PM'!K57</f>
        <v>4</v>
      </c>
      <c r="L59" s="3">
        <f>'2-3PM'!L57</f>
        <v>2</v>
      </c>
      <c r="M59" s="3">
        <f>'2-3PM'!M57</f>
        <v>0</v>
      </c>
      <c r="N59" s="3">
        <f>SUM(B59:M59)</f>
        <v>251</v>
      </c>
    </row>
    <row r="60" spans="1:14" x14ac:dyDescent="0.25">
      <c r="A60" s="21" t="s">
        <v>98</v>
      </c>
      <c r="B60" s="1">
        <f t="shared" ref="B60:M60" si="7">SUM(B58:B59)</f>
        <v>192</v>
      </c>
      <c r="C60" s="1">
        <f t="shared" si="7"/>
        <v>120</v>
      </c>
      <c r="D60" s="1">
        <f t="shared" si="7"/>
        <v>37</v>
      </c>
      <c r="E60" s="1">
        <f t="shared" si="7"/>
        <v>22</v>
      </c>
      <c r="F60" s="1">
        <f t="shared" si="7"/>
        <v>55</v>
      </c>
      <c r="G60" s="1">
        <f t="shared" si="7"/>
        <v>0</v>
      </c>
      <c r="H60" s="1">
        <f t="shared" si="7"/>
        <v>3</v>
      </c>
      <c r="I60" s="1">
        <f t="shared" si="7"/>
        <v>1</v>
      </c>
      <c r="J60" s="1">
        <f t="shared" si="7"/>
        <v>28</v>
      </c>
      <c r="K60" s="1">
        <f t="shared" si="7"/>
        <v>6</v>
      </c>
      <c r="L60" s="1">
        <f t="shared" si="7"/>
        <v>3</v>
      </c>
      <c r="M60" s="1">
        <f t="shared" si="7"/>
        <v>0</v>
      </c>
      <c r="N60" s="22">
        <f>SUM(B60:M60)</f>
        <v>467</v>
      </c>
    </row>
    <row r="61" spans="1:14" x14ac:dyDescent="0.25">
      <c r="A61" s="5"/>
    </row>
    <row r="62" spans="1:14" x14ac:dyDescent="0.25">
      <c r="A62" s="5"/>
    </row>
    <row r="63" spans="1:14" x14ac:dyDescent="0.25">
      <c r="A63" s="33" t="s">
        <v>105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5"/>
      <c r="N63" s="23"/>
    </row>
    <row r="64" spans="1:14" x14ac:dyDescent="0.25">
      <c r="A64" s="4" t="str">
        <f>'7-8AM'!A14</f>
        <v>Maili Tisa Bound</v>
      </c>
      <c r="B64" s="3">
        <f>'3-4PM'!B56</f>
        <v>87</v>
      </c>
      <c r="C64" s="3">
        <f>'3-4PM'!C56</f>
        <v>62</v>
      </c>
      <c r="D64" s="3">
        <f>'3-4PM'!D56</f>
        <v>29</v>
      </c>
      <c r="E64" s="3">
        <f>'3-4PM'!E56</f>
        <v>23</v>
      </c>
      <c r="F64" s="3">
        <f>'3-4PM'!F56</f>
        <v>24</v>
      </c>
      <c r="G64" s="3">
        <f>'3-4PM'!G56</f>
        <v>0</v>
      </c>
      <c r="H64" s="3">
        <f>'3-4PM'!H56</f>
        <v>2</v>
      </c>
      <c r="I64" s="3">
        <f>'3-4PM'!I56</f>
        <v>4</v>
      </c>
      <c r="J64" s="3">
        <f>'3-4PM'!J56</f>
        <v>6</v>
      </c>
      <c r="K64" s="3">
        <f>'3-4PM'!K56</f>
        <v>3</v>
      </c>
      <c r="L64" s="3">
        <f>'3-4PM'!L56</f>
        <v>0</v>
      </c>
      <c r="M64" s="3">
        <f>'3-4PM'!M56</f>
        <v>0</v>
      </c>
      <c r="N64" s="3">
        <f>SUM(B64:M64)</f>
        <v>240</v>
      </c>
    </row>
    <row r="65" spans="1:14" x14ac:dyDescent="0.25">
      <c r="A65" s="4" t="str">
        <f>'7-8AM'!A15</f>
        <v>Kitale Bound</v>
      </c>
      <c r="B65" s="3">
        <f>'3-4PM'!B57</f>
        <v>76</v>
      </c>
      <c r="C65" s="3">
        <f>'3-4PM'!C57</f>
        <v>69</v>
      </c>
      <c r="D65" s="3">
        <f>'3-4PM'!D57</f>
        <v>38</v>
      </c>
      <c r="E65" s="3">
        <f>'3-4PM'!E57</f>
        <v>11</v>
      </c>
      <c r="F65" s="3">
        <f>'3-4PM'!F57</f>
        <v>29</v>
      </c>
      <c r="G65" s="3">
        <f>'3-4PM'!G57</f>
        <v>6</v>
      </c>
      <c r="H65" s="3">
        <f>'3-4PM'!H57</f>
        <v>3</v>
      </c>
      <c r="I65" s="3">
        <f>'3-4PM'!I57</f>
        <v>1</v>
      </c>
      <c r="J65" s="3">
        <f>'3-4PM'!J57</f>
        <v>7</v>
      </c>
      <c r="K65" s="3">
        <f>'3-4PM'!K57</f>
        <v>1</v>
      </c>
      <c r="L65" s="3">
        <f>'3-4PM'!L57</f>
        <v>0</v>
      </c>
      <c r="M65" s="3">
        <f>'3-4PM'!M57</f>
        <v>0</v>
      </c>
      <c r="N65" s="3">
        <f>SUM(B65:M65)</f>
        <v>241</v>
      </c>
    </row>
    <row r="66" spans="1:14" ht="18.75" customHeight="1" x14ac:dyDescent="0.25">
      <c r="A66" s="21" t="s">
        <v>98</v>
      </c>
      <c r="B66" s="1">
        <f t="shared" ref="B66:M66" si="8">SUM(B64:B65)</f>
        <v>163</v>
      </c>
      <c r="C66" s="1">
        <f t="shared" si="8"/>
        <v>131</v>
      </c>
      <c r="D66" s="1">
        <f t="shared" si="8"/>
        <v>67</v>
      </c>
      <c r="E66" s="1">
        <f t="shared" si="8"/>
        <v>34</v>
      </c>
      <c r="F66" s="1">
        <f t="shared" si="8"/>
        <v>53</v>
      </c>
      <c r="G66" s="1">
        <f t="shared" si="8"/>
        <v>6</v>
      </c>
      <c r="H66" s="1">
        <f t="shared" si="8"/>
        <v>5</v>
      </c>
      <c r="I66" s="1">
        <f t="shared" si="8"/>
        <v>5</v>
      </c>
      <c r="J66" s="1">
        <f t="shared" si="8"/>
        <v>13</v>
      </c>
      <c r="K66" s="1">
        <f t="shared" si="8"/>
        <v>4</v>
      </c>
      <c r="L66" s="1">
        <f t="shared" si="8"/>
        <v>0</v>
      </c>
      <c r="M66" s="1">
        <f t="shared" si="8"/>
        <v>0</v>
      </c>
      <c r="N66" s="22">
        <f>SUM(B66:M66)</f>
        <v>481</v>
      </c>
    </row>
    <row r="67" spans="1:14" x14ac:dyDescent="0.25">
      <c r="A67" s="5"/>
    </row>
    <row r="68" spans="1:14" x14ac:dyDescent="0.25">
      <c r="A68" s="5"/>
    </row>
    <row r="69" spans="1:14" x14ac:dyDescent="0.25">
      <c r="A69" s="41" t="s">
        <v>106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42"/>
      <c r="N69" s="6"/>
    </row>
    <row r="70" spans="1:14" x14ac:dyDescent="0.25">
      <c r="A70" s="4" t="str">
        <f>'7-8AM'!A14</f>
        <v>Maili Tisa Bound</v>
      </c>
      <c r="B70" s="3">
        <f>'4-5PM'!B56</f>
        <v>79</v>
      </c>
      <c r="C70" s="3">
        <f>'4-5PM'!C56</f>
        <v>65</v>
      </c>
      <c r="D70" s="3">
        <f>'4-5PM'!D56</f>
        <v>31</v>
      </c>
      <c r="E70" s="3">
        <f>'4-5PM'!E56</f>
        <v>4</v>
      </c>
      <c r="F70" s="3">
        <f>'4-5PM'!F56</f>
        <v>29</v>
      </c>
      <c r="G70" s="3">
        <f>'4-5PM'!G56</f>
        <v>0</v>
      </c>
      <c r="H70" s="3">
        <f>'4-5PM'!H56</f>
        <v>4</v>
      </c>
      <c r="I70" s="3">
        <f>'4-5PM'!I56</f>
        <v>1</v>
      </c>
      <c r="J70" s="3">
        <f>'4-5PM'!J56</f>
        <v>8</v>
      </c>
      <c r="K70" s="3">
        <f>'4-5PM'!K56</f>
        <v>4</v>
      </c>
      <c r="L70" s="3">
        <f>'4-5PM'!L56</f>
        <v>3</v>
      </c>
      <c r="M70" s="3">
        <f>'4-5PM'!M56</f>
        <v>0</v>
      </c>
      <c r="N70" s="3">
        <f>SUM(B70:M70)</f>
        <v>228</v>
      </c>
    </row>
    <row r="71" spans="1:14" x14ac:dyDescent="0.25">
      <c r="A71" s="4" t="str">
        <f>'7-8AM'!A15</f>
        <v>Kitale Bound</v>
      </c>
      <c r="B71" s="3">
        <f>'4-5PM'!B57</f>
        <v>83</v>
      </c>
      <c r="C71" s="3">
        <f>'4-5PM'!C57</f>
        <v>66</v>
      </c>
      <c r="D71" s="3">
        <f>'4-5PM'!D57</f>
        <v>23</v>
      </c>
      <c r="E71" s="3">
        <f>'4-5PM'!E57</f>
        <v>12</v>
      </c>
      <c r="F71" s="3">
        <f>'4-5PM'!F57</f>
        <v>22</v>
      </c>
      <c r="G71" s="3">
        <f>'4-5PM'!G57</f>
        <v>1</v>
      </c>
      <c r="H71" s="3">
        <f>'4-5PM'!H57</f>
        <v>1</v>
      </c>
      <c r="I71" s="3">
        <f>'4-5PM'!I57</f>
        <v>3</v>
      </c>
      <c r="J71" s="3">
        <f>'4-5PM'!J57</f>
        <v>13</v>
      </c>
      <c r="K71" s="3">
        <f>'4-5PM'!K57</f>
        <v>4</v>
      </c>
      <c r="L71" s="3">
        <f>'4-5PM'!L57</f>
        <v>1</v>
      </c>
      <c r="M71" s="3">
        <f>'4-5PM'!M57</f>
        <v>0</v>
      </c>
      <c r="N71" s="3">
        <f>SUM(B71:M71)</f>
        <v>229</v>
      </c>
    </row>
    <row r="72" spans="1:14" x14ac:dyDescent="0.25">
      <c r="A72" s="21" t="s">
        <v>98</v>
      </c>
      <c r="B72" s="1">
        <f t="shared" ref="B72:M72" si="9">SUM(B70:B71)</f>
        <v>162</v>
      </c>
      <c r="C72" s="1">
        <f t="shared" si="9"/>
        <v>131</v>
      </c>
      <c r="D72" s="1">
        <f t="shared" si="9"/>
        <v>54</v>
      </c>
      <c r="E72" s="1">
        <f t="shared" si="9"/>
        <v>16</v>
      </c>
      <c r="F72" s="1">
        <f t="shared" si="9"/>
        <v>51</v>
      </c>
      <c r="G72" s="1">
        <f t="shared" si="9"/>
        <v>1</v>
      </c>
      <c r="H72" s="1">
        <f t="shared" si="9"/>
        <v>5</v>
      </c>
      <c r="I72" s="1">
        <f t="shared" si="9"/>
        <v>4</v>
      </c>
      <c r="J72" s="1">
        <f t="shared" si="9"/>
        <v>21</v>
      </c>
      <c r="K72" s="1">
        <f t="shared" si="9"/>
        <v>8</v>
      </c>
      <c r="L72" s="1">
        <f t="shared" si="9"/>
        <v>4</v>
      </c>
      <c r="M72" s="1">
        <f t="shared" si="9"/>
        <v>0</v>
      </c>
      <c r="N72" s="22">
        <f>SUM(B72:M72)</f>
        <v>457</v>
      </c>
    </row>
    <row r="73" spans="1:14" x14ac:dyDescent="0.25">
      <c r="A73" s="5"/>
    </row>
    <row r="74" spans="1:14" x14ac:dyDescent="0.25">
      <c r="A74" s="5"/>
    </row>
    <row r="75" spans="1:14" x14ac:dyDescent="0.25">
      <c r="A75" s="41" t="s">
        <v>107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42"/>
      <c r="N75" s="6"/>
    </row>
    <row r="76" spans="1:14" x14ac:dyDescent="0.25">
      <c r="A76" s="4" t="str">
        <f>'7-8AM'!A14</f>
        <v>Maili Tisa Bound</v>
      </c>
      <c r="B76" s="3">
        <f>'5-6PM'!B56</f>
        <v>75</v>
      </c>
      <c r="C76" s="3">
        <f>'5-6PM'!C56</f>
        <v>105</v>
      </c>
      <c r="D76" s="3">
        <f>'5-6PM'!D56</f>
        <v>37</v>
      </c>
      <c r="E76" s="3">
        <f>'5-6PM'!E56</f>
        <v>8</v>
      </c>
      <c r="F76" s="3">
        <f>'5-6PM'!F56</f>
        <v>23</v>
      </c>
      <c r="G76" s="3">
        <f>'5-6PM'!G56</f>
        <v>1</v>
      </c>
      <c r="H76" s="3">
        <f>'5-6PM'!H56</f>
        <v>4</v>
      </c>
      <c r="I76" s="3">
        <f>'5-6PM'!I56</f>
        <v>3</v>
      </c>
      <c r="J76" s="3">
        <f>'5-6PM'!J56</f>
        <v>11</v>
      </c>
      <c r="K76" s="3">
        <f>'5-6PM'!K56</f>
        <v>3</v>
      </c>
      <c r="L76" s="3">
        <f>'5-6PM'!L56</f>
        <v>0</v>
      </c>
      <c r="M76" s="3">
        <f>'5-6PM'!M56</f>
        <v>0</v>
      </c>
      <c r="N76" s="3">
        <f>SUM(B76:M76)</f>
        <v>270</v>
      </c>
    </row>
    <row r="77" spans="1:14" x14ac:dyDescent="0.25">
      <c r="A77" s="4" t="str">
        <f>'7-8AM'!A15</f>
        <v>Kitale Bound</v>
      </c>
      <c r="B77" s="3">
        <f>'5-6PM'!B57</f>
        <v>67</v>
      </c>
      <c r="C77" s="3">
        <f>'5-6PM'!C57</f>
        <v>77</v>
      </c>
      <c r="D77" s="3">
        <f>'5-6PM'!D57</f>
        <v>31</v>
      </c>
      <c r="E77" s="3">
        <f>'5-6PM'!E57</f>
        <v>24</v>
      </c>
      <c r="F77" s="3">
        <f>'5-6PM'!F57</f>
        <v>21</v>
      </c>
      <c r="G77" s="3">
        <f>'5-6PM'!G57</f>
        <v>2</v>
      </c>
      <c r="H77" s="3">
        <f>'5-6PM'!H57</f>
        <v>3</v>
      </c>
      <c r="I77" s="3">
        <f>'5-6PM'!I57</f>
        <v>6</v>
      </c>
      <c r="J77" s="3">
        <f>'5-6PM'!J57</f>
        <v>15</v>
      </c>
      <c r="K77" s="3">
        <f>'5-6PM'!K57</f>
        <v>1</v>
      </c>
      <c r="L77" s="3">
        <f>'5-6PM'!L57</f>
        <v>1</v>
      </c>
      <c r="M77" s="3">
        <f>'5-6PM'!M57</f>
        <v>0</v>
      </c>
      <c r="N77" s="3">
        <f>SUM(B77:M77)</f>
        <v>248</v>
      </c>
    </row>
    <row r="78" spans="1:14" x14ac:dyDescent="0.25">
      <c r="A78" s="21" t="s">
        <v>98</v>
      </c>
      <c r="B78" s="1">
        <f t="shared" ref="B78:M78" si="10">SUM(B76:B77)</f>
        <v>142</v>
      </c>
      <c r="C78" s="1">
        <f t="shared" si="10"/>
        <v>182</v>
      </c>
      <c r="D78" s="1">
        <f t="shared" si="10"/>
        <v>68</v>
      </c>
      <c r="E78" s="1">
        <f t="shared" si="10"/>
        <v>32</v>
      </c>
      <c r="F78" s="1">
        <f t="shared" si="10"/>
        <v>44</v>
      </c>
      <c r="G78" s="1">
        <f t="shared" si="10"/>
        <v>3</v>
      </c>
      <c r="H78" s="1">
        <f t="shared" si="10"/>
        <v>7</v>
      </c>
      <c r="I78" s="1">
        <f t="shared" si="10"/>
        <v>9</v>
      </c>
      <c r="J78" s="1">
        <f t="shared" si="10"/>
        <v>26</v>
      </c>
      <c r="K78" s="1">
        <f t="shared" si="10"/>
        <v>4</v>
      </c>
      <c r="L78" s="1">
        <f t="shared" si="10"/>
        <v>1</v>
      </c>
      <c r="M78" s="1">
        <f t="shared" si="10"/>
        <v>0</v>
      </c>
      <c r="N78" s="22">
        <f>SUM(B78:M78)</f>
        <v>518</v>
      </c>
    </row>
    <row r="79" spans="1:14" x14ac:dyDescent="0.25">
      <c r="A79" s="5"/>
    </row>
    <row r="80" spans="1:14" x14ac:dyDescent="0.25">
      <c r="A80" s="5"/>
    </row>
    <row r="81" spans="1:14" x14ac:dyDescent="0.25">
      <c r="A81" s="41" t="s">
        <v>108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42"/>
      <c r="N81" s="6"/>
    </row>
    <row r="82" spans="1:14" x14ac:dyDescent="0.25">
      <c r="A82" s="4" t="str">
        <f>'7-8AM'!A14</f>
        <v>Maili Tisa Bound</v>
      </c>
      <c r="B82" s="3">
        <f>'6-7PM'!B56</f>
        <v>95</v>
      </c>
      <c r="C82" s="3">
        <f>'6-7PM'!C56</f>
        <v>89</v>
      </c>
      <c r="D82" s="3">
        <f>'6-7PM'!D56</f>
        <v>29</v>
      </c>
      <c r="E82" s="3">
        <f>'6-7PM'!E56</f>
        <v>14</v>
      </c>
      <c r="F82" s="3">
        <f>'6-7PM'!F56</f>
        <v>26</v>
      </c>
      <c r="G82" s="3">
        <f>'6-7PM'!G56</f>
        <v>6</v>
      </c>
      <c r="H82" s="3">
        <f>'6-7PM'!H56</f>
        <v>4</v>
      </c>
      <c r="I82" s="3">
        <f>'6-7PM'!I56</f>
        <v>2</v>
      </c>
      <c r="J82" s="3">
        <f>'6-7PM'!J56</f>
        <v>8</v>
      </c>
      <c r="K82" s="3">
        <f>'6-7PM'!K56</f>
        <v>6</v>
      </c>
      <c r="L82" s="3">
        <f>'6-7PM'!L56</f>
        <v>0</v>
      </c>
      <c r="M82" s="3">
        <f>'6-7PM'!M56</f>
        <v>0</v>
      </c>
      <c r="N82" s="3">
        <f>SUM(B82:M82)</f>
        <v>279</v>
      </c>
    </row>
    <row r="83" spans="1:14" x14ac:dyDescent="0.25">
      <c r="A83" s="4" t="str">
        <f>'7-8AM'!A15</f>
        <v>Kitale Bound</v>
      </c>
      <c r="B83" s="3">
        <f>'6-7PM'!B57</f>
        <v>66</v>
      </c>
      <c r="C83" s="3">
        <f>'6-7PM'!C57</f>
        <v>91</v>
      </c>
      <c r="D83" s="3">
        <f>'6-7PM'!D57</f>
        <v>40</v>
      </c>
      <c r="E83" s="3">
        <f>'6-7PM'!E57</f>
        <v>19</v>
      </c>
      <c r="F83" s="3">
        <f>'6-7PM'!F57</f>
        <v>21</v>
      </c>
      <c r="G83" s="3">
        <f>'6-7PM'!G57</f>
        <v>2</v>
      </c>
      <c r="H83" s="3">
        <f>'6-7PM'!H57</f>
        <v>1</v>
      </c>
      <c r="I83" s="3">
        <f>'6-7PM'!I57</f>
        <v>2</v>
      </c>
      <c r="J83" s="3">
        <f>'6-7PM'!J57</f>
        <v>15</v>
      </c>
      <c r="K83" s="3">
        <f>'6-7PM'!K57</f>
        <v>2</v>
      </c>
      <c r="L83" s="3">
        <f>'6-7PM'!L57</f>
        <v>2</v>
      </c>
      <c r="M83" s="3">
        <f>'6-7PM'!M57</f>
        <v>0</v>
      </c>
      <c r="N83" s="3">
        <f>SUM(B83:M83)</f>
        <v>261</v>
      </c>
    </row>
    <row r="84" spans="1:14" x14ac:dyDescent="0.25">
      <c r="A84" s="21" t="s">
        <v>98</v>
      </c>
      <c r="B84" s="1">
        <f t="shared" ref="B84:M84" si="11">SUM(B82:B83)</f>
        <v>161</v>
      </c>
      <c r="C84" s="1">
        <f t="shared" si="11"/>
        <v>180</v>
      </c>
      <c r="D84" s="1">
        <f t="shared" si="11"/>
        <v>69</v>
      </c>
      <c r="E84" s="1">
        <f t="shared" si="11"/>
        <v>33</v>
      </c>
      <c r="F84" s="1">
        <f t="shared" si="11"/>
        <v>47</v>
      </c>
      <c r="G84" s="1">
        <f t="shared" si="11"/>
        <v>8</v>
      </c>
      <c r="H84" s="1">
        <f t="shared" si="11"/>
        <v>5</v>
      </c>
      <c r="I84" s="1">
        <f t="shared" si="11"/>
        <v>4</v>
      </c>
      <c r="J84" s="1">
        <f t="shared" si="11"/>
        <v>23</v>
      </c>
      <c r="K84" s="1">
        <f t="shared" si="11"/>
        <v>8</v>
      </c>
      <c r="L84" s="1">
        <f t="shared" si="11"/>
        <v>2</v>
      </c>
      <c r="M84" s="1">
        <f t="shared" si="11"/>
        <v>0</v>
      </c>
      <c r="N84" s="22">
        <f>SUM(B84:M84)</f>
        <v>540</v>
      </c>
    </row>
    <row r="85" spans="1:14" x14ac:dyDescent="0.25">
      <c r="A85" s="24"/>
    </row>
    <row r="86" spans="1:14" x14ac:dyDescent="0.25">
      <c r="A86" s="40" t="s">
        <v>109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 spans="1:14" x14ac:dyDescent="0.25">
      <c r="A87" s="5"/>
    </row>
    <row r="88" spans="1:14" x14ac:dyDescent="0.25">
      <c r="A88" s="5"/>
    </row>
    <row r="89" spans="1:14" ht="75" customHeight="1" x14ac:dyDescent="0.25">
      <c r="A89" s="1" t="s">
        <v>4</v>
      </c>
      <c r="B89" s="2" t="s">
        <v>5</v>
      </c>
      <c r="C89" s="2" t="s">
        <v>6</v>
      </c>
      <c r="D89" s="2" t="s">
        <v>7</v>
      </c>
      <c r="E89" s="2" t="s">
        <v>8</v>
      </c>
      <c r="F89" s="2" t="s">
        <v>9</v>
      </c>
      <c r="G89" s="2" t="s">
        <v>10</v>
      </c>
      <c r="H89" s="2" t="s">
        <v>11</v>
      </c>
      <c r="I89" s="2" t="s">
        <v>12</v>
      </c>
      <c r="J89" s="2" t="s">
        <v>13</v>
      </c>
      <c r="K89" s="2" t="s">
        <v>14</v>
      </c>
      <c r="L89" s="2" t="s">
        <v>15</v>
      </c>
      <c r="M89" s="2" t="s">
        <v>16</v>
      </c>
      <c r="N89" s="7" t="s">
        <v>17</v>
      </c>
    </row>
    <row r="90" spans="1:14" x14ac:dyDescent="0.25">
      <c r="A90" s="33" t="s">
        <v>110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5"/>
      <c r="N90" s="8"/>
    </row>
    <row r="91" spans="1:14" x14ac:dyDescent="0.25">
      <c r="A91" s="4" t="str">
        <f>'7-8AM'!A14</f>
        <v>Maili Tisa Bound</v>
      </c>
      <c r="B91" s="3">
        <f t="shared" ref="B91:M91" si="12">(B16+B22+B28+B34+B40+B46+B52+B58+B64+B70+B76+B82)</f>
        <v>827</v>
      </c>
      <c r="C91" s="3">
        <f t="shared" si="12"/>
        <v>727</v>
      </c>
      <c r="D91" s="3">
        <f t="shared" si="12"/>
        <v>377</v>
      </c>
      <c r="E91" s="3">
        <f t="shared" si="12"/>
        <v>203</v>
      </c>
      <c r="F91" s="3">
        <f t="shared" si="12"/>
        <v>297</v>
      </c>
      <c r="G91" s="3">
        <f t="shared" si="12"/>
        <v>31</v>
      </c>
      <c r="H91" s="3">
        <f t="shared" si="12"/>
        <v>28</v>
      </c>
      <c r="I91" s="3">
        <f t="shared" si="12"/>
        <v>35</v>
      </c>
      <c r="J91" s="3">
        <f t="shared" si="12"/>
        <v>107</v>
      </c>
      <c r="K91" s="3">
        <f t="shared" si="12"/>
        <v>46</v>
      </c>
      <c r="L91" s="3">
        <f t="shared" si="12"/>
        <v>9</v>
      </c>
      <c r="M91" s="3">
        <f t="shared" si="12"/>
        <v>4</v>
      </c>
      <c r="N91" s="20">
        <f>SUM(B91:M91)</f>
        <v>2691</v>
      </c>
    </row>
    <row r="92" spans="1:14" x14ac:dyDescent="0.25">
      <c r="A92" s="4" t="str">
        <f>'7-8AM'!A15</f>
        <v>Kitale Bound</v>
      </c>
      <c r="B92" s="3">
        <f t="shared" ref="B92:M92" si="13">(B17+B23+B29+B35+B41+B47+B53+B59+B65+B71+B77+B83)</f>
        <v>784</v>
      </c>
      <c r="C92" s="3">
        <f t="shared" si="13"/>
        <v>791</v>
      </c>
      <c r="D92" s="3">
        <f t="shared" si="13"/>
        <v>365</v>
      </c>
      <c r="E92" s="3">
        <f t="shared" si="13"/>
        <v>197</v>
      </c>
      <c r="F92" s="3">
        <f t="shared" si="13"/>
        <v>318</v>
      </c>
      <c r="G92" s="3">
        <f t="shared" si="13"/>
        <v>25</v>
      </c>
      <c r="H92" s="3">
        <f t="shared" si="13"/>
        <v>29</v>
      </c>
      <c r="I92" s="3">
        <f t="shared" si="13"/>
        <v>31</v>
      </c>
      <c r="J92" s="3">
        <f t="shared" si="13"/>
        <v>119</v>
      </c>
      <c r="K92" s="3">
        <f t="shared" si="13"/>
        <v>25</v>
      </c>
      <c r="L92" s="3">
        <f t="shared" si="13"/>
        <v>12</v>
      </c>
      <c r="M92" s="3">
        <f t="shared" si="13"/>
        <v>1</v>
      </c>
      <c r="N92" s="20">
        <f>SUM(B92:M92)</f>
        <v>2697</v>
      </c>
    </row>
    <row r="93" spans="1:14" ht="27" customHeight="1" x14ac:dyDescent="0.25">
      <c r="A93" s="25" t="s">
        <v>19</v>
      </c>
      <c r="B93" s="26">
        <f t="shared" ref="B93:M93" si="14">SUM(B91:B92)</f>
        <v>1611</v>
      </c>
      <c r="C93" s="26">
        <f t="shared" si="14"/>
        <v>1518</v>
      </c>
      <c r="D93" s="26">
        <f t="shared" si="14"/>
        <v>742</v>
      </c>
      <c r="E93" s="26">
        <f t="shared" si="14"/>
        <v>400</v>
      </c>
      <c r="F93" s="26">
        <f t="shared" si="14"/>
        <v>615</v>
      </c>
      <c r="G93" s="26">
        <f t="shared" si="14"/>
        <v>56</v>
      </c>
      <c r="H93" s="26">
        <f t="shared" si="14"/>
        <v>57</v>
      </c>
      <c r="I93" s="26">
        <f t="shared" si="14"/>
        <v>66</v>
      </c>
      <c r="J93" s="26">
        <f t="shared" si="14"/>
        <v>226</v>
      </c>
      <c r="K93" s="26">
        <f t="shared" si="14"/>
        <v>71</v>
      </c>
      <c r="L93" s="26">
        <f t="shared" si="14"/>
        <v>21</v>
      </c>
      <c r="M93" s="26">
        <f t="shared" si="14"/>
        <v>5</v>
      </c>
      <c r="N93" s="26">
        <f>SUM(B93:M93)</f>
        <v>5388</v>
      </c>
    </row>
    <row r="94" spans="1:14" x14ac:dyDescent="0.25">
      <c r="A94" s="16" t="s">
        <v>20</v>
      </c>
      <c r="B94" s="17">
        <v>0.5</v>
      </c>
      <c r="C94" s="17">
        <v>1</v>
      </c>
      <c r="D94" s="17">
        <v>1</v>
      </c>
      <c r="E94" s="17">
        <v>1.75</v>
      </c>
      <c r="F94" s="17">
        <v>1.75</v>
      </c>
      <c r="G94" s="17">
        <v>2</v>
      </c>
      <c r="H94" s="17">
        <v>2.5</v>
      </c>
      <c r="I94" s="17">
        <v>1.25</v>
      </c>
      <c r="J94" s="17">
        <v>1.5</v>
      </c>
      <c r="K94" s="17">
        <v>2.75</v>
      </c>
      <c r="L94" s="17">
        <v>3</v>
      </c>
      <c r="M94" s="17">
        <v>2</v>
      </c>
      <c r="N94" s="8"/>
    </row>
    <row r="95" spans="1:14" ht="47.25" customHeight="1" x14ac:dyDescent="0.25">
      <c r="A95" s="9" t="s">
        <v>21</v>
      </c>
      <c r="B95" s="18">
        <f t="shared" ref="B95:M95" si="15">B93*B94</f>
        <v>805.5</v>
      </c>
      <c r="C95" s="18">
        <f t="shared" si="15"/>
        <v>1518</v>
      </c>
      <c r="D95" s="18">
        <f t="shared" si="15"/>
        <v>742</v>
      </c>
      <c r="E95" s="18">
        <f t="shared" si="15"/>
        <v>700</v>
      </c>
      <c r="F95" s="18">
        <f t="shared" si="15"/>
        <v>1076.25</v>
      </c>
      <c r="G95" s="18">
        <f t="shared" si="15"/>
        <v>112</v>
      </c>
      <c r="H95" s="18">
        <f t="shared" si="15"/>
        <v>142.5</v>
      </c>
      <c r="I95" s="18">
        <f t="shared" si="15"/>
        <v>82.5</v>
      </c>
      <c r="J95" s="18">
        <f t="shared" si="15"/>
        <v>339</v>
      </c>
      <c r="K95" s="18">
        <f t="shared" si="15"/>
        <v>195.25</v>
      </c>
      <c r="L95" s="18">
        <f t="shared" si="15"/>
        <v>63</v>
      </c>
      <c r="M95" s="18">
        <f t="shared" si="15"/>
        <v>10</v>
      </c>
      <c r="N95" s="19">
        <f>SUM(B95:M95)</f>
        <v>5786</v>
      </c>
    </row>
    <row r="96" spans="1:14" x14ac:dyDescent="0.25">
      <c r="A96" s="5"/>
    </row>
    <row r="97" spans="1:13" x14ac:dyDescent="0.25">
      <c r="A97" s="5"/>
    </row>
    <row r="110" spans="1:13" ht="34.5" customHeight="1" x14ac:dyDescent="0.25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x14ac:dyDescent="0.25">
      <c r="A111" s="1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</sheetData>
  <mergeCells count="22">
    <mergeCell ref="A1:N1"/>
    <mergeCell ref="A6:N6"/>
    <mergeCell ref="A7:N7"/>
    <mergeCell ref="A39:M39"/>
    <mergeCell ref="A15:M15"/>
    <mergeCell ref="A3:N3"/>
    <mergeCell ref="A12:N12"/>
    <mergeCell ref="A86:N86"/>
    <mergeCell ref="A69:M69"/>
    <mergeCell ref="A5:N5"/>
    <mergeCell ref="A90:M90"/>
    <mergeCell ref="A75:M75"/>
    <mergeCell ref="A27:M27"/>
    <mergeCell ref="A21:M21"/>
    <mergeCell ref="A10:N10"/>
    <mergeCell ref="A57:M57"/>
    <mergeCell ref="A33:M33"/>
    <mergeCell ref="A9:N9"/>
    <mergeCell ref="A81:M81"/>
    <mergeCell ref="A63:M63"/>
    <mergeCell ref="A51:M51"/>
    <mergeCell ref="A45:M4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7-8AM</vt:lpstr>
      <vt:lpstr>8-9AM</vt:lpstr>
      <vt:lpstr>9-10AM</vt:lpstr>
      <vt:lpstr>10-11AM</vt:lpstr>
      <vt:lpstr>11-12PM</vt:lpstr>
      <vt:lpstr>12-1PM</vt:lpstr>
      <vt:lpstr>1-2PM</vt:lpstr>
      <vt:lpstr>2-3PM</vt:lpstr>
      <vt:lpstr>3-4PM</vt:lpstr>
      <vt:lpstr>4-5PM</vt:lpstr>
      <vt:lpstr>5-6PM</vt:lpstr>
      <vt:lpstr>6-7PM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Ogolla</dc:creator>
  <cp:lastModifiedBy>Eric Muiruri</cp:lastModifiedBy>
  <dcterms:created xsi:type="dcterms:W3CDTF">2020-07-23T02:39:54Z</dcterms:created>
  <dcterms:modified xsi:type="dcterms:W3CDTF">2025-12-15T13:40:53Z</dcterms:modified>
</cp:coreProperties>
</file>